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Data Analyst track with DEPI\Technical skills\Assaignments\"/>
    </mc:Choice>
  </mc:AlternateContent>
  <xr:revisionPtr revIDLastSave="0" documentId="13_ncr:1_{9FC5C7C9-C8AA-475A-8966-6640418B65B1}" xr6:coauthVersionLast="47" xr6:coauthVersionMax="47" xr10:uidLastSave="{00000000-0000-0000-0000-000000000000}"/>
  <bookViews>
    <workbookView xWindow="-108" yWindow="-108" windowWidth="23256" windowHeight="12576" activeTab="1" xr2:uid="{346724B3-1C49-40AE-AA36-C77CF5D6DD09}"/>
  </bookViews>
  <sheets>
    <sheet name="pivots" sheetId="5" r:id="rId1"/>
    <sheet name="Dashboardme" sheetId="6" r:id="rId2"/>
    <sheet name="Questions &amp; KPIs" sheetId="2" r:id="rId3"/>
    <sheet name="Sheet1" sheetId="8" r:id="rId4"/>
    <sheet name="Sheet2" sheetId="9" r:id="rId5"/>
    <sheet name="Sheet3" sheetId="10" r:id="rId6"/>
    <sheet name="maps" sheetId="11" r:id="rId7"/>
    <sheet name="Sheet5" sheetId="12" r:id="rId8"/>
    <sheet name="Data" sheetId="1" r:id="rId9"/>
  </sheets>
  <definedNames>
    <definedName name="_xlchart.v5.0" hidden="1">maps!$G$3:$H$3</definedName>
    <definedName name="_xlchart.v5.1" hidden="1">maps!$G$4:$H$61</definedName>
    <definedName name="_xlchart.v5.10" hidden="1">maps!$I$3</definedName>
    <definedName name="_xlchart.v5.11" hidden="1">maps!$I$4:$I$61</definedName>
    <definedName name="_xlchart.v5.12" hidden="1">maps!$L$3:$M$3</definedName>
    <definedName name="_xlchart.v5.13" hidden="1">maps!$L$4:$M$61</definedName>
    <definedName name="_xlchart.v5.14" hidden="1">maps!$N$3</definedName>
    <definedName name="_xlchart.v5.15" hidden="1">maps!$N$4:$N$61</definedName>
    <definedName name="_xlchart.v5.2" hidden="1">maps!$I$3</definedName>
    <definedName name="_xlchart.v5.3" hidden="1">maps!$I$4:$I$61</definedName>
    <definedName name="_xlchart.v5.4" hidden="1">maps!$L$3:$M$3</definedName>
    <definedName name="_xlchart.v5.5" hidden="1">maps!$L$4:$M$61</definedName>
    <definedName name="_xlchart.v5.6" hidden="1">maps!$N$3</definedName>
    <definedName name="_xlchart.v5.7" hidden="1">maps!$N$4:$N$61</definedName>
    <definedName name="_xlchart.v5.8" hidden="1">maps!$G$3:$H$3</definedName>
    <definedName name="_xlchart.v5.9" hidden="1">maps!$G$4:$H$61</definedName>
    <definedName name="Slicer_Gender_Value">#N/A</definedName>
    <definedName name="Slicer_Order_Mod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5" l="1"/>
  <c r="L6" i="8"/>
  <c r="L7" i="8"/>
  <c r="L8" i="8"/>
  <c r="L9" i="8"/>
  <c r="L5" i="8"/>
  <c r="K6" i="8"/>
  <c r="K7" i="8"/>
  <c r="K8" i="8"/>
  <c r="K9" i="8"/>
  <c r="J6" i="8"/>
  <c r="J7" i="8"/>
  <c r="J8" i="8"/>
  <c r="J9" i="8"/>
  <c r="I6" i="8"/>
  <c r="I7" i="8"/>
  <c r="I8" i="8"/>
  <c r="I9" i="8"/>
  <c r="I5" i="8"/>
  <c r="J5" i="8"/>
  <c r="K5" i="8"/>
  <c r="L4" i="8"/>
  <c r="J4" i="8"/>
  <c r="K4" i="8"/>
  <c r="I4" i="8"/>
  <c r="H6" i="8"/>
  <c r="H7" i="8"/>
  <c r="H8" i="8"/>
  <c r="H9" i="8"/>
  <c r="H5" i="8"/>
  <c r="O2401" i="1"/>
  <c r="O2401" i="1" a="1"/>
  <c r="N2401" i="1"/>
  <c r="M2401" i="1"/>
  <c r="O2400" i="1"/>
  <c r="O2400" i="1" a="1"/>
  <c r="N2400" i="1"/>
  <c r="M2400" i="1"/>
  <c r="O2399" i="1"/>
  <c r="O2399" i="1" a="1"/>
  <c r="N2399" i="1"/>
  <c r="M2399" i="1"/>
  <c r="O2398" i="1"/>
  <c r="O2398" i="1" a="1"/>
  <c r="N2398" i="1"/>
  <c r="M2398" i="1"/>
  <c r="O2397" i="1"/>
  <c r="O2397" i="1" a="1"/>
  <c r="N2397" i="1"/>
  <c r="M2397" i="1"/>
  <c r="O2396" i="1"/>
  <c r="O2396" i="1" a="1"/>
  <c r="N2396" i="1"/>
  <c r="M2396" i="1"/>
  <c r="O2395" i="1"/>
  <c r="O2395" i="1" a="1"/>
  <c r="N2395" i="1"/>
  <c r="M2395" i="1"/>
  <c r="O2394" i="1"/>
  <c r="O2394" i="1" a="1"/>
  <c r="N2394" i="1"/>
  <c r="M2394" i="1"/>
  <c r="O2393" i="1"/>
  <c r="O2393" i="1" a="1"/>
  <c r="N2393" i="1"/>
  <c r="M2393" i="1"/>
  <c r="O2392" i="1"/>
  <c r="O2392" i="1" a="1"/>
  <c r="N2392" i="1"/>
  <c r="M2392" i="1"/>
  <c r="O2391" i="1"/>
  <c r="O2391" i="1" a="1"/>
  <c r="N2391" i="1"/>
  <c r="M2391" i="1"/>
  <c r="O2390" i="1"/>
  <c r="O2390" i="1" a="1"/>
  <c r="N2390" i="1"/>
  <c r="M2390" i="1"/>
  <c r="O2389" i="1"/>
  <c r="O2389" i="1" a="1"/>
  <c r="N2389" i="1"/>
  <c r="M2389" i="1"/>
  <c r="O2388" i="1"/>
  <c r="O2388" i="1" a="1"/>
  <c r="N2388" i="1"/>
  <c r="M2388" i="1"/>
  <c r="O2387" i="1"/>
  <c r="O2387" i="1" a="1"/>
  <c r="N2387" i="1"/>
  <c r="M2387" i="1"/>
  <c r="O2386" i="1"/>
  <c r="O2386" i="1" a="1"/>
  <c r="N2386" i="1"/>
  <c r="M2386" i="1"/>
  <c r="O2385" i="1"/>
  <c r="O2385" i="1" a="1"/>
  <c r="N2385" i="1"/>
  <c r="M2385" i="1"/>
  <c r="O2384" i="1"/>
  <c r="O2384" i="1" a="1"/>
  <c r="N2384" i="1"/>
  <c r="M2384" i="1"/>
  <c r="O2383" i="1"/>
  <c r="O2383" i="1" a="1"/>
  <c r="N2383" i="1"/>
  <c r="M2383" i="1"/>
  <c r="O2382" i="1"/>
  <c r="O2382" i="1" a="1"/>
  <c r="N2382" i="1"/>
  <c r="M2382" i="1"/>
  <c r="O2381" i="1"/>
  <c r="O2381" i="1" a="1"/>
  <c r="N2381" i="1"/>
  <c r="M2381" i="1"/>
  <c r="O2380" i="1"/>
  <c r="O2380" i="1" a="1"/>
  <c r="N2380" i="1"/>
  <c r="M2380" i="1"/>
  <c r="O2379" i="1"/>
  <c r="O2379" i="1" a="1"/>
  <c r="N2379" i="1"/>
  <c r="M2379" i="1"/>
  <c r="O2378" i="1"/>
  <c r="O2378" i="1" a="1"/>
  <c r="N2378" i="1"/>
  <c r="M2378" i="1"/>
  <c r="O2377" i="1"/>
  <c r="O2377" i="1" a="1"/>
  <c r="N2377" i="1"/>
  <c r="M2377" i="1"/>
  <c r="O2376" i="1"/>
  <c r="O2376" i="1" a="1"/>
  <c r="N2376" i="1"/>
  <c r="M2376" i="1"/>
  <c r="O2375" i="1"/>
  <c r="O2375" i="1" a="1"/>
  <c r="N2375" i="1"/>
  <c r="M2375" i="1"/>
  <c r="O2374" i="1"/>
  <c r="O2374" i="1" a="1"/>
  <c r="N2374" i="1"/>
  <c r="M2374" i="1"/>
  <c r="O2373" i="1"/>
  <c r="O2373" i="1" a="1"/>
  <c r="N2373" i="1"/>
  <c r="M2373" i="1"/>
  <c r="O2372" i="1"/>
  <c r="O2372" i="1" a="1"/>
  <c r="N2372" i="1"/>
  <c r="M2372" i="1"/>
  <c r="O2371" i="1"/>
  <c r="O2371" i="1" a="1"/>
  <c r="N2371" i="1"/>
  <c r="M2371" i="1"/>
  <c r="O2370" i="1"/>
  <c r="O2370" i="1" a="1"/>
  <c r="N2370" i="1"/>
  <c r="M2370" i="1"/>
  <c r="O2369" i="1"/>
  <c r="O2369" i="1" a="1"/>
  <c r="N2369" i="1"/>
  <c r="M2369" i="1"/>
  <c r="O2368" i="1"/>
  <c r="O2368" i="1" a="1"/>
  <c r="N2368" i="1"/>
  <c r="M2368" i="1"/>
  <c r="O2367" i="1"/>
  <c r="O2367" i="1" a="1"/>
  <c r="N2367" i="1"/>
  <c r="M2367" i="1"/>
  <c r="O2366" i="1"/>
  <c r="O2366" i="1" a="1"/>
  <c r="N2366" i="1"/>
  <c r="M2366" i="1"/>
  <c r="O2365" i="1"/>
  <c r="O2365" i="1" a="1"/>
  <c r="N2365" i="1"/>
  <c r="M2365" i="1"/>
  <c r="O2364" i="1"/>
  <c r="O2364" i="1" a="1"/>
  <c r="N2364" i="1"/>
  <c r="M2364" i="1"/>
  <c r="O2363" i="1"/>
  <c r="O2363" i="1" a="1"/>
  <c r="N2363" i="1"/>
  <c r="M2363" i="1"/>
  <c r="O2362" i="1"/>
  <c r="O2362" i="1" a="1"/>
  <c r="N2362" i="1"/>
  <c r="M2362" i="1"/>
  <c r="O2361" i="1"/>
  <c r="O2361" i="1" a="1"/>
  <c r="N2361" i="1"/>
  <c r="M2361" i="1"/>
  <c r="O2360" i="1"/>
  <c r="O2360" i="1" a="1"/>
  <c r="N2360" i="1"/>
  <c r="M2360" i="1"/>
  <c r="O2359" i="1"/>
  <c r="O2359" i="1" a="1"/>
  <c r="N2359" i="1"/>
  <c r="M2359" i="1"/>
  <c r="O2358" i="1"/>
  <c r="O2358" i="1" a="1"/>
  <c r="N2358" i="1"/>
  <c r="M2358" i="1"/>
  <c r="O2357" i="1"/>
  <c r="O2357" i="1" a="1"/>
  <c r="N2357" i="1"/>
  <c r="M2357" i="1"/>
  <c r="O2356" i="1"/>
  <c r="O2356" i="1" a="1"/>
  <c r="N2356" i="1"/>
  <c r="M2356" i="1"/>
  <c r="O2355" i="1"/>
  <c r="O2355" i="1" a="1"/>
  <c r="N2355" i="1"/>
  <c r="M2355" i="1"/>
  <c r="O2354" i="1"/>
  <c r="O2354" i="1" a="1"/>
  <c r="N2354" i="1"/>
  <c r="M2354" i="1"/>
  <c r="O2353" i="1"/>
  <c r="O2353" i="1" a="1"/>
  <c r="N2353" i="1"/>
  <c r="M2353" i="1"/>
  <c r="O2352" i="1"/>
  <c r="O2352" i="1" a="1"/>
  <c r="N2352" i="1"/>
  <c r="M2352" i="1"/>
  <c r="O2351" i="1"/>
  <c r="O2351" i="1" a="1"/>
  <c r="N2351" i="1"/>
  <c r="M2351" i="1"/>
  <c r="O2350" i="1"/>
  <c r="O2350" i="1" a="1"/>
  <c r="N2350" i="1"/>
  <c r="M2350" i="1"/>
  <c r="O2349" i="1"/>
  <c r="O2349" i="1" a="1"/>
  <c r="N2349" i="1"/>
  <c r="M2349" i="1"/>
  <c r="O2348" i="1"/>
  <c r="O2348" i="1" a="1"/>
  <c r="N2348" i="1"/>
  <c r="M2348" i="1"/>
  <c r="O2347" i="1"/>
  <c r="O2347" i="1" a="1"/>
  <c r="N2347" i="1"/>
  <c r="M2347" i="1"/>
  <c r="O2346" i="1"/>
  <c r="O2346" i="1" a="1"/>
  <c r="N2346" i="1"/>
  <c r="M2346" i="1"/>
  <c r="O2345" i="1"/>
  <c r="O2345" i="1" a="1"/>
  <c r="N2345" i="1"/>
  <c r="M2345" i="1"/>
  <c r="O2344" i="1"/>
  <c r="O2344" i="1" a="1"/>
  <c r="N2344" i="1"/>
  <c r="M2344" i="1"/>
  <c r="O2343" i="1"/>
  <c r="O2343" i="1" a="1"/>
  <c r="N2343" i="1"/>
  <c r="M2343" i="1"/>
  <c r="O2342" i="1"/>
  <c r="O2342" i="1" a="1"/>
  <c r="N2342" i="1"/>
  <c r="M2342" i="1"/>
  <c r="O2341" i="1"/>
  <c r="O2341" i="1" a="1"/>
  <c r="N2341" i="1"/>
  <c r="M2341" i="1"/>
  <c r="O2340" i="1"/>
  <c r="O2340" i="1" a="1"/>
  <c r="N2340" i="1"/>
  <c r="M2340" i="1"/>
  <c r="O2339" i="1"/>
  <c r="O2339" i="1" a="1"/>
  <c r="N2339" i="1"/>
  <c r="M2339" i="1"/>
  <c r="O2338" i="1"/>
  <c r="O2338" i="1" a="1"/>
  <c r="N2338" i="1"/>
  <c r="M2338" i="1"/>
  <c r="O2337" i="1"/>
  <c r="O2337" i="1" a="1"/>
  <c r="N2337" i="1"/>
  <c r="M2337" i="1"/>
  <c r="O2336" i="1"/>
  <c r="O2336" i="1" a="1"/>
  <c r="N2336" i="1"/>
  <c r="M2336" i="1"/>
  <c r="O2335" i="1"/>
  <c r="O2335" i="1" a="1"/>
  <c r="N2335" i="1"/>
  <c r="M2335" i="1"/>
  <c r="O2334" i="1"/>
  <c r="O2334" i="1" a="1"/>
  <c r="N2334" i="1"/>
  <c r="M2334" i="1"/>
  <c r="O2333" i="1"/>
  <c r="O2333" i="1" a="1"/>
  <c r="N2333" i="1"/>
  <c r="M2333" i="1"/>
  <c r="O2332" i="1"/>
  <c r="O2332" i="1" a="1"/>
  <c r="N2332" i="1"/>
  <c r="M2332" i="1"/>
  <c r="O2331" i="1"/>
  <c r="O2331" i="1" a="1"/>
  <c r="N2331" i="1"/>
  <c r="M2331" i="1"/>
  <c r="O2330" i="1"/>
  <c r="O2330" i="1" a="1"/>
  <c r="N2330" i="1"/>
  <c r="M2330" i="1"/>
  <c r="O2329" i="1"/>
  <c r="O2329" i="1" a="1"/>
  <c r="N2329" i="1"/>
  <c r="M2329" i="1"/>
  <c r="O2328" i="1"/>
  <c r="O2328" i="1" a="1"/>
  <c r="N2328" i="1"/>
  <c r="M2328" i="1"/>
  <c r="O2327" i="1"/>
  <c r="O2327" i="1" a="1"/>
  <c r="N2327" i="1"/>
  <c r="M2327" i="1"/>
  <c r="O2326" i="1"/>
  <c r="O2326" i="1" a="1"/>
  <c r="N2326" i="1"/>
  <c r="M2326" i="1"/>
  <c r="O2325" i="1"/>
  <c r="O2325" i="1" a="1"/>
  <c r="N2325" i="1"/>
  <c r="M2325" i="1"/>
  <c r="O2324" i="1"/>
  <c r="O2324" i="1" a="1"/>
  <c r="N2324" i="1"/>
  <c r="M2324" i="1"/>
  <c r="O2323" i="1"/>
  <c r="O2323" i="1" a="1"/>
  <c r="N2323" i="1"/>
  <c r="M2323" i="1"/>
  <c r="O2322" i="1"/>
  <c r="O2322" i="1" a="1"/>
  <c r="N2322" i="1"/>
  <c r="M2322" i="1"/>
  <c r="O2321" i="1"/>
  <c r="O2321" i="1" a="1"/>
  <c r="N2321" i="1"/>
  <c r="M2321" i="1"/>
  <c r="O2320" i="1"/>
  <c r="O2320" i="1" a="1"/>
  <c r="N2320" i="1"/>
  <c r="M2320" i="1"/>
  <c r="O2319" i="1"/>
  <c r="O2319" i="1" a="1"/>
  <c r="N2319" i="1"/>
  <c r="M2319" i="1"/>
  <c r="O2318" i="1"/>
  <c r="O2318" i="1" a="1"/>
  <c r="N2318" i="1"/>
  <c r="M2318" i="1"/>
  <c r="O2317" i="1"/>
  <c r="O2317" i="1" a="1"/>
  <c r="N2317" i="1"/>
  <c r="M2317" i="1"/>
  <c r="O2316" i="1"/>
  <c r="O2316" i="1" a="1"/>
  <c r="N2316" i="1"/>
  <c r="M2316" i="1"/>
  <c r="O2315" i="1"/>
  <c r="O2315" i="1" a="1"/>
  <c r="N2315" i="1"/>
  <c r="M2315" i="1"/>
  <c r="O2314" i="1"/>
  <c r="O2314" i="1" a="1"/>
  <c r="N2314" i="1"/>
  <c r="M2314" i="1"/>
  <c r="O2313" i="1"/>
  <c r="O2313" i="1" a="1"/>
  <c r="N2313" i="1"/>
  <c r="M2313" i="1"/>
  <c r="O2312" i="1"/>
  <c r="O2312" i="1" a="1"/>
  <c r="N2312" i="1"/>
  <c r="M2312" i="1"/>
  <c r="O2311" i="1"/>
  <c r="O2311" i="1" a="1"/>
  <c r="N2311" i="1"/>
  <c r="M2311" i="1"/>
  <c r="O2310" i="1"/>
  <c r="O2310" i="1" a="1"/>
  <c r="N2310" i="1"/>
  <c r="M2310" i="1"/>
  <c r="O2309" i="1"/>
  <c r="O2309" i="1" a="1"/>
  <c r="N2309" i="1"/>
  <c r="M2309" i="1"/>
  <c r="O2308" i="1"/>
  <c r="O2308" i="1" a="1"/>
  <c r="N2308" i="1"/>
  <c r="M2308" i="1"/>
  <c r="O2307" i="1"/>
  <c r="O2307" i="1" a="1"/>
  <c r="N2307" i="1"/>
  <c r="M2307" i="1"/>
  <c r="O2306" i="1"/>
  <c r="O2306" i="1" a="1"/>
  <c r="N2306" i="1"/>
  <c r="M2306" i="1"/>
  <c r="O2305" i="1"/>
  <c r="O2305" i="1" a="1"/>
  <c r="N2305" i="1"/>
  <c r="M2305" i="1"/>
  <c r="O2304" i="1"/>
  <c r="O2304" i="1" a="1"/>
  <c r="N2304" i="1"/>
  <c r="M2304" i="1"/>
  <c r="O2303" i="1"/>
  <c r="O2303" i="1" a="1"/>
  <c r="N2303" i="1"/>
  <c r="M2303" i="1"/>
  <c r="O2302" i="1"/>
  <c r="O2302" i="1" a="1"/>
  <c r="N2302" i="1"/>
  <c r="M2302" i="1"/>
  <c r="O2301" i="1"/>
  <c r="O2301" i="1" a="1"/>
  <c r="N2301" i="1"/>
  <c r="M2301" i="1"/>
  <c r="O2300" i="1"/>
  <c r="O2300" i="1" a="1"/>
  <c r="N2300" i="1"/>
  <c r="M2300" i="1"/>
  <c r="O2299" i="1"/>
  <c r="O2299" i="1" a="1"/>
  <c r="N2299" i="1"/>
  <c r="M2299" i="1"/>
  <c r="O2298" i="1"/>
  <c r="O2298" i="1" a="1"/>
  <c r="N2298" i="1"/>
  <c r="M2298" i="1"/>
  <c r="O2297" i="1"/>
  <c r="O2297" i="1" a="1"/>
  <c r="N2297" i="1"/>
  <c r="M2297" i="1"/>
  <c r="O2296" i="1"/>
  <c r="O2296" i="1" a="1"/>
  <c r="N2296" i="1"/>
  <c r="M2296" i="1"/>
  <c r="O2295" i="1"/>
  <c r="O2295" i="1" a="1"/>
  <c r="N2295" i="1"/>
  <c r="M2295" i="1"/>
  <c r="O2294" i="1"/>
  <c r="O2294" i="1" a="1"/>
  <c r="N2294" i="1"/>
  <c r="M2294" i="1"/>
  <c r="O2293" i="1"/>
  <c r="O2293" i="1" a="1"/>
  <c r="N2293" i="1"/>
  <c r="M2293" i="1"/>
  <c r="O2292" i="1"/>
  <c r="O2292" i="1" a="1"/>
  <c r="N2292" i="1"/>
  <c r="M2292" i="1"/>
  <c r="O2291" i="1"/>
  <c r="O2291" i="1" a="1"/>
  <c r="N2291" i="1"/>
  <c r="M2291" i="1"/>
  <c r="O2290" i="1"/>
  <c r="O2290" i="1" a="1"/>
  <c r="N2290" i="1"/>
  <c r="M2290" i="1"/>
  <c r="O2289" i="1"/>
  <c r="O2289" i="1" a="1"/>
  <c r="N2289" i="1"/>
  <c r="M2289" i="1"/>
  <c r="O2288" i="1"/>
  <c r="O2288" i="1" a="1"/>
  <c r="N2288" i="1"/>
  <c r="M2288" i="1"/>
  <c r="O2287" i="1"/>
  <c r="O2287" i="1" a="1"/>
  <c r="N2287" i="1"/>
  <c r="M2287" i="1"/>
  <c r="O2286" i="1"/>
  <c r="O2286" i="1" a="1"/>
  <c r="N2286" i="1"/>
  <c r="M2286" i="1"/>
  <c r="O2285" i="1"/>
  <c r="O2285" i="1" a="1"/>
  <c r="N2285" i="1"/>
  <c r="M2285" i="1"/>
  <c r="O2284" i="1"/>
  <c r="O2284" i="1" a="1"/>
  <c r="N2284" i="1"/>
  <c r="M2284" i="1"/>
  <c r="O2283" i="1"/>
  <c r="O2283" i="1" a="1"/>
  <c r="N2283" i="1"/>
  <c r="M2283" i="1"/>
  <c r="O2282" i="1"/>
  <c r="O2282" i="1" a="1"/>
  <c r="N2282" i="1"/>
  <c r="M2282" i="1"/>
  <c r="O2281" i="1"/>
  <c r="O2281" i="1" a="1"/>
  <c r="N2281" i="1"/>
  <c r="M2281" i="1"/>
  <c r="O2280" i="1"/>
  <c r="O2280" i="1" a="1"/>
  <c r="N2280" i="1"/>
  <c r="M2280" i="1"/>
  <c r="O2279" i="1"/>
  <c r="O2279" i="1" a="1"/>
  <c r="N2279" i="1"/>
  <c r="M2279" i="1"/>
  <c r="O2278" i="1"/>
  <c r="O2278" i="1" a="1"/>
  <c r="N2278" i="1"/>
  <c r="M2278" i="1"/>
  <c r="O2277" i="1"/>
  <c r="O2277" i="1" a="1"/>
  <c r="N2277" i="1"/>
  <c r="M2277" i="1"/>
  <c r="O2276" i="1"/>
  <c r="O2276" i="1" a="1"/>
  <c r="N2276" i="1"/>
  <c r="M2276" i="1"/>
  <c r="O2275" i="1"/>
  <c r="O2275" i="1" a="1"/>
  <c r="N2275" i="1"/>
  <c r="M2275" i="1"/>
  <c r="O2274" i="1"/>
  <c r="O2274" i="1" a="1"/>
  <c r="N2274" i="1"/>
  <c r="M2274" i="1"/>
  <c r="O2273" i="1"/>
  <c r="O2273" i="1" a="1"/>
  <c r="N2273" i="1"/>
  <c r="M2273" i="1"/>
  <c r="O2272" i="1"/>
  <c r="O2272" i="1" a="1"/>
  <c r="N2272" i="1"/>
  <c r="M2272" i="1"/>
  <c r="O2271" i="1"/>
  <c r="O2271" i="1" a="1"/>
  <c r="N2271" i="1"/>
  <c r="M2271" i="1"/>
  <c r="O2270" i="1"/>
  <c r="O2270" i="1" a="1"/>
  <c r="N2270" i="1"/>
  <c r="M2270" i="1"/>
  <c r="O2269" i="1"/>
  <c r="O2269" i="1" a="1"/>
  <c r="N2269" i="1"/>
  <c r="M2269" i="1"/>
  <c r="O2268" i="1"/>
  <c r="O2268" i="1" a="1"/>
  <c r="N2268" i="1"/>
  <c r="M2268" i="1"/>
  <c r="O2267" i="1"/>
  <c r="O2267" i="1" a="1"/>
  <c r="N2267" i="1"/>
  <c r="M2267" i="1"/>
  <c r="O2266" i="1"/>
  <c r="O2266" i="1" a="1"/>
  <c r="N2266" i="1"/>
  <c r="M2266" i="1"/>
  <c r="O2265" i="1"/>
  <c r="O2265" i="1" a="1"/>
  <c r="N2265" i="1"/>
  <c r="M2265" i="1"/>
  <c r="O2264" i="1"/>
  <c r="O2264" i="1" a="1"/>
  <c r="N2264" i="1"/>
  <c r="M2264" i="1"/>
  <c r="O2263" i="1"/>
  <c r="O2263" i="1" a="1"/>
  <c r="N2263" i="1"/>
  <c r="M2263" i="1"/>
  <c r="O2262" i="1"/>
  <c r="O2262" i="1" a="1"/>
  <c r="N2262" i="1"/>
  <c r="M2262" i="1"/>
  <c r="O2261" i="1"/>
  <c r="O2261" i="1" a="1"/>
  <c r="N2261" i="1"/>
  <c r="M2261" i="1"/>
  <c r="O2260" i="1"/>
  <c r="O2260" i="1" a="1"/>
  <c r="N2260" i="1"/>
  <c r="M2260" i="1"/>
  <c r="O2259" i="1"/>
  <c r="O2259" i="1" a="1"/>
  <c r="N2259" i="1"/>
  <c r="M2259" i="1"/>
  <c r="O2258" i="1"/>
  <c r="O2258" i="1" a="1"/>
  <c r="N2258" i="1"/>
  <c r="M2258" i="1"/>
  <c r="O2257" i="1"/>
  <c r="O2257" i="1" a="1"/>
  <c r="N2257" i="1"/>
  <c r="M2257" i="1"/>
  <c r="O2256" i="1"/>
  <c r="O2256" i="1" a="1"/>
  <c r="N2256" i="1"/>
  <c r="M2256" i="1"/>
  <c r="O2255" i="1"/>
  <c r="O2255" i="1" a="1"/>
  <c r="N2255" i="1"/>
  <c r="M2255" i="1"/>
  <c r="O2254" i="1"/>
  <c r="O2254" i="1" a="1"/>
  <c r="N2254" i="1"/>
  <c r="M2254" i="1"/>
  <c r="O2253" i="1"/>
  <c r="O2253" i="1" a="1"/>
  <c r="N2253" i="1"/>
  <c r="M2253" i="1"/>
  <c r="O2252" i="1"/>
  <c r="O2252" i="1" a="1"/>
  <c r="N2252" i="1"/>
  <c r="M2252" i="1"/>
  <c r="O2251" i="1"/>
  <c r="O2251" i="1" a="1"/>
  <c r="N2251" i="1"/>
  <c r="M2251" i="1"/>
  <c r="O2250" i="1"/>
  <c r="O2250" i="1" a="1"/>
  <c r="N2250" i="1"/>
  <c r="M2250" i="1"/>
  <c r="O2249" i="1"/>
  <c r="O2249" i="1" a="1"/>
  <c r="N2249" i="1"/>
  <c r="M2249" i="1"/>
  <c r="O2248" i="1"/>
  <c r="O2248" i="1" a="1"/>
  <c r="N2248" i="1"/>
  <c r="M2248" i="1"/>
  <c r="O2247" i="1"/>
  <c r="O2247" i="1" a="1"/>
  <c r="N2247" i="1"/>
  <c r="M2247" i="1"/>
  <c r="O2246" i="1"/>
  <c r="O2246" i="1" a="1"/>
  <c r="N2246" i="1"/>
  <c r="M2246" i="1"/>
  <c r="O2245" i="1"/>
  <c r="O2245" i="1" a="1"/>
  <c r="N2245" i="1"/>
  <c r="M2245" i="1"/>
  <c r="O2244" i="1"/>
  <c r="O2244" i="1" a="1"/>
  <c r="N2244" i="1"/>
  <c r="M2244" i="1"/>
  <c r="O2243" i="1"/>
  <c r="O2243" i="1" a="1"/>
  <c r="N2243" i="1"/>
  <c r="M2243" i="1"/>
  <c r="O2242" i="1"/>
  <c r="O2242" i="1" a="1"/>
  <c r="N2242" i="1"/>
  <c r="M2242" i="1"/>
  <c r="O2241" i="1"/>
  <c r="O2241" i="1" a="1"/>
  <c r="N2241" i="1"/>
  <c r="M2241" i="1"/>
  <c r="O2240" i="1"/>
  <c r="O2240" i="1" a="1"/>
  <c r="N2240" i="1"/>
  <c r="M2240" i="1"/>
  <c r="O2239" i="1"/>
  <c r="O2239" i="1" a="1"/>
  <c r="N2239" i="1"/>
  <c r="M2239" i="1"/>
  <c r="O2238" i="1"/>
  <c r="O2238" i="1" a="1"/>
  <c r="N2238" i="1"/>
  <c r="M2238" i="1"/>
  <c r="O2237" i="1"/>
  <c r="O2237" i="1" a="1"/>
  <c r="N2237" i="1"/>
  <c r="M2237" i="1"/>
  <c r="O2236" i="1"/>
  <c r="O2236" i="1" a="1"/>
  <c r="N2236" i="1"/>
  <c r="M2236" i="1"/>
  <c r="O2235" i="1"/>
  <c r="O2235" i="1" a="1"/>
  <c r="N2235" i="1"/>
  <c r="M2235" i="1"/>
  <c r="O2234" i="1"/>
  <c r="O2234" i="1" a="1"/>
  <c r="N2234" i="1"/>
  <c r="M2234" i="1"/>
  <c r="O2233" i="1"/>
  <c r="O2233" i="1" a="1"/>
  <c r="N2233" i="1"/>
  <c r="M2233" i="1"/>
  <c r="O2232" i="1"/>
  <c r="O2232" i="1" a="1"/>
  <c r="N2232" i="1"/>
  <c r="M2232" i="1"/>
  <c r="O2231" i="1"/>
  <c r="O2231" i="1" a="1"/>
  <c r="N2231" i="1"/>
  <c r="M2231" i="1"/>
  <c r="O2230" i="1"/>
  <c r="O2230" i="1" a="1"/>
  <c r="N2230" i="1"/>
  <c r="M2230" i="1"/>
  <c r="O2229" i="1"/>
  <c r="O2229" i="1" a="1"/>
  <c r="N2229" i="1"/>
  <c r="M2229" i="1"/>
  <c r="O2228" i="1"/>
  <c r="O2228" i="1" a="1"/>
  <c r="N2228" i="1"/>
  <c r="M2228" i="1"/>
  <c r="O2227" i="1"/>
  <c r="O2227" i="1" a="1"/>
  <c r="N2227" i="1"/>
  <c r="M2227" i="1"/>
  <c r="O2226" i="1"/>
  <c r="O2226" i="1" a="1"/>
  <c r="N2226" i="1"/>
  <c r="M2226" i="1"/>
  <c r="O2225" i="1"/>
  <c r="O2225" i="1" a="1"/>
  <c r="N2225" i="1"/>
  <c r="M2225" i="1"/>
  <c r="O2224" i="1"/>
  <c r="O2224" i="1" a="1"/>
  <c r="N2224" i="1"/>
  <c r="M2224" i="1"/>
  <c r="O2223" i="1"/>
  <c r="O2223" i="1" a="1"/>
  <c r="N2223" i="1"/>
  <c r="M2223" i="1"/>
  <c r="O2222" i="1"/>
  <c r="O2222" i="1" a="1"/>
  <c r="N2222" i="1"/>
  <c r="M2222" i="1"/>
  <c r="O2221" i="1"/>
  <c r="O2221" i="1" a="1"/>
  <c r="N2221" i="1"/>
  <c r="M2221" i="1"/>
  <c r="O2220" i="1"/>
  <c r="O2220" i="1" a="1"/>
  <c r="N2220" i="1"/>
  <c r="M2220" i="1"/>
  <c r="O2219" i="1"/>
  <c r="O2219" i="1" a="1"/>
  <c r="N2219" i="1"/>
  <c r="M2219" i="1"/>
  <c r="O2218" i="1"/>
  <c r="O2218" i="1" a="1"/>
  <c r="N2218" i="1"/>
  <c r="M2218" i="1"/>
  <c r="O2217" i="1"/>
  <c r="O2217" i="1" a="1"/>
  <c r="N2217" i="1"/>
  <c r="M2217" i="1"/>
  <c r="O2216" i="1"/>
  <c r="O2216" i="1" a="1"/>
  <c r="N2216" i="1"/>
  <c r="M2216" i="1"/>
  <c r="O2215" i="1"/>
  <c r="O2215" i="1" a="1"/>
  <c r="N2215" i="1"/>
  <c r="M2215" i="1"/>
  <c r="O2214" i="1"/>
  <c r="O2214" i="1" a="1"/>
  <c r="N2214" i="1"/>
  <c r="M2214" i="1"/>
  <c r="O2213" i="1"/>
  <c r="O2213" i="1" a="1"/>
  <c r="N2213" i="1"/>
  <c r="M2213" i="1"/>
  <c r="O2212" i="1"/>
  <c r="O2212" i="1" a="1"/>
  <c r="N2212" i="1"/>
  <c r="M2212" i="1"/>
  <c r="O2211" i="1"/>
  <c r="O2211" i="1" a="1"/>
  <c r="N2211" i="1"/>
  <c r="M2211" i="1"/>
  <c r="O2210" i="1"/>
  <c r="O2210" i="1" a="1"/>
  <c r="N2210" i="1"/>
  <c r="M2210" i="1"/>
  <c r="O2209" i="1"/>
  <c r="O2209" i="1" a="1"/>
  <c r="N2209" i="1"/>
  <c r="M2209" i="1"/>
  <c r="O2208" i="1"/>
  <c r="O2208" i="1" a="1"/>
  <c r="N2208" i="1"/>
  <c r="M2208" i="1"/>
  <c r="O2207" i="1"/>
  <c r="O2207" i="1" a="1"/>
  <c r="N2207" i="1"/>
  <c r="M2207" i="1"/>
  <c r="O2206" i="1"/>
  <c r="O2206" i="1" a="1"/>
  <c r="N2206" i="1"/>
  <c r="M2206" i="1"/>
  <c r="O2205" i="1"/>
  <c r="O2205" i="1" a="1"/>
  <c r="N2205" i="1"/>
  <c r="M2205" i="1"/>
  <c r="O2204" i="1"/>
  <c r="O2204" i="1" a="1"/>
  <c r="N2204" i="1"/>
  <c r="M2204" i="1"/>
  <c r="O2203" i="1"/>
  <c r="O2203" i="1" a="1"/>
  <c r="N2203" i="1"/>
  <c r="M2203" i="1"/>
  <c r="O2202" i="1"/>
  <c r="O2202" i="1" a="1"/>
  <c r="N2202" i="1"/>
  <c r="M2202" i="1"/>
  <c r="O2201" i="1"/>
  <c r="O2201" i="1" a="1"/>
  <c r="N2201" i="1"/>
  <c r="M2201" i="1"/>
  <c r="O2200" i="1"/>
  <c r="O2200" i="1" a="1"/>
  <c r="N2200" i="1"/>
  <c r="M2200" i="1"/>
  <c r="O2199" i="1"/>
  <c r="O2199" i="1" a="1"/>
  <c r="N2199" i="1"/>
  <c r="M2199" i="1"/>
  <c r="O2198" i="1"/>
  <c r="O2198" i="1" a="1"/>
  <c r="N2198" i="1"/>
  <c r="M2198" i="1"/>
  <c r="O2197" i="1"/>
  <c r="O2197" i="1" a="1"/>
  <c r="N2197" i="1"/>
  <c r="M2197" i="1"/>
  <c r="O2196" i="1"/>
  <c r="O2196" i="1" a="1"/>
  <c r="N2196" i="1"/>
  <c r="M2196" i="1"/>
  <c r="O2195" i="1"/>
  <c r="O2195" i="1" a="1"/>
  <c r="N2195" i="1"/>
  <c r="M2195" i="1"/>
  <c r="O2194" i="1"/>
  <c r="O2194" i="1" a="1"/>
  <c r="N2194" i="1"/>
  <c r="M2194" i="1"/>
  <c r="O2193" i="1"/>
  <c r="O2193" i="1" a="1"/>
  <c r="N2193" i="1"/>
  <c r="M2193" i="1"/>
  <c r="O2192" i="1"/>
  <c r="O2192" i="1" a="1"/>
  <c r="N2192" i="1"/>
  <c r="M2192" i="1"/>
  <c r="O2191" i="1"/>
  <c r="O2191" i="1" a="1"/>
  <c r="N2191" i="1"/>
  <c r="M2191" i="1"/>
  <c r="O2190" i="1"/>
  <c r="O2190" i="1" a="1"/>
  <c r="N2190" i="1"/>
  <c r="M2190" i="1"/>
  <c r="O2189" i="1"/>
  <c r="O2189" i="1" a="1"/>
  <c r="N2189" i="1"/>
  <c r="M2189" i="1"/>
  <c r="O2188" i="1"/>
  <c r="O2188" i="1" a="1"/>
  <c r="N2188" i="1"/>
  <c r="M2188" i="1"/>
  <c r="O2187" i="1"/>
  <c r="O2187" i="1" a="1"/>
  <c r="N2187" i="1"/>
  <c r="M2187" i="1"/>
  <c r="O2186" i="1"/>
  <c r="O2186" i="1" a="1"/>
  <c r="N2186" i="1"/>
  <c r="M2186" i="1"/>
  <c r="O2185" i="1"/>
  <c r="O2185" i="1" a="1"/>
  <c r="N2185" i="1"/>
  <c r="M2185" i="1"/>
  <c r="O2184" i="1"/>
  <c r="O2184" i="1" a="1"/>
  <c r="N2184" i="1"/>
  <c r="M2184" i="1"/>
  <c r="O2183" i="1"/>
  <c r="O2183" i="1" a="1"/>
  <c r="N2183" i="1"/>
  <c r="M2183" i="1"/>
  <c r="O2182" i="1"/>
  <c r="O2182" i="1" a="1"/>
  <c r="N2182" i="1"/>
  <c r="M2182" i="1"/>
  <c r="O2181" i="1"/>
  <c r="O2181" i="1" a="1"/>
  <c r="N2181" i="1"/>
  <c r="M2181" i="1"/>
  <c r="O2180" i="1"/>
  <c r="O2180" i="1" a="1"/>
  <c r="N2180" i="1"/>
  <c r="M2180" i="1"/>
  <c r="O2179" i="1"/>
  <c r="O2179" i="1" a="1"/>
  <c r="N2179" i="1"/>
  <c r="M2179" i="1"/>
  <c r="O2178" i="1"/>
  <c r="O2178" i="1" a="1"/>
  <c r="N2178" i="1"/>
  <c r="M2178" i="1"/>
  <c r="O2177" i="1"/>
  <c r="O2177" i="1" a="1"/>
  <c r="N2177" i="1"/>
  <c r="M2177" i="1"/>
  <c r="O2176" i="1"/>
  <c r="O2176" i="1" a="1"/>
  <c r="N2176" i="1"/>
  <c r="M2176" i="1"/>
  <c r="O2175" i="1"/>
  <c r="O2175" i="1" a="1"/>
  <c r="N2175" i="1"/>
  <c r="M2175" i="1"/>
  <c r="O2174" i="1"/>
  <c r="O2174" i="1" a="1"/>
  <c r="N2174" i="1"/>
  <c r="M2174" i="1"/>
  <c r="O2173" i="1"/>
  <c r="O2173" i="1" a="1"/>
  <c r="N2173" i="1"/>
  <c r="M2173" i="1"/>
  <c r="O2172" i="1"/>
  <c r="O2172" i="1" a="1"/>
  <c r="N2172" i="1"/>
  <c r="M2172" i="1"/>
  <c r="O2171" i="1"/>
  <c r="O2171" i="1" a="1"/>
  <c r="N2171" i="1"/>
  <c r="M2171" i="1"/>
  <c r="O2170" i="1"/>
  <c r="O2170" i="1" a="1"/>
  <c r="N2170" i="1"/>
  <c r="M2170" i="1"/>
  <c r="O2169" i="1"/>
  <c r="O2169" i="1" a="1"/>
  <c r="N2169" i="1"/>
  <c r="M2169" i="1"/>
  <c r="O2168" i="1"/>
  <c r="O2168" i="1" a="1"/>
  <c r="N2168" i="1"/>
  <c r="M2168" i="1"/>
  <c r="O2167" i="1"/>
  <c r="O2167" i="1" a="1"/>
  <c r="N2167" i="1"/>
  <c r="M2167" i="1"/>
  <c r="O2166" i="1"/>
  <c r="O2166" i="1" a="1"/>
  <c r="N2166" i="1"/>
  <c r="M2166" i="1"/>
  <c r="O2165" i="1"/>
  <c r="O2165" i="1" a="1"/>
  <c r="N2165" i="1"/>
  <c r="M2165" i="1"/>
  <c r="O2164" i="1"/>
  <c r="O2164" i="1" a="1"/>
  <c r="N2164" i="1"/>
  <c r="M2164" i="1"/>
  <c r="O2163" i="1"/>
  <c r="O2163" i="1" a="1"/>
  <c r="N2163" i="1"/>
  <c r="M2163" i="1"/>
  <c r="O2162" i="1"/>
  <c r="O2162" i="1" a="1"/>
  <c r="N2162" i="1"/>
  <c r="M2162" i="1"/>
  <c r="O2161" i="1"/>
  <c r="O2161" i="1" a="1"/>
  <c r="N2161" i="1"/>
  <c r="M2161" i="1"/>
  <c r="O2160" i="1"/>
  <c r="O2160" i="1" a="1"/>
  <c r="N2160" i="1"/>
  <c r="M2160" i="1"/>
  <c r="O2159" i="1"/>
  <c r="O2159" i="1" a="1"/>
  <c r="N2159" i="1"/>
  <c r="M2159" i="1"/>
  <c r="O2158" i="1"/>
  <c r="O2158" i="1" a="1"/>
  <c r="N2158" i="1"/>
  <c r="M2158" i="1"/>
  <c r="O2157" i="1"/>
  <c r="O2157" i="1" a="1"/>
  <c r="N2157" i="1"/>
  <c r="M2157" i="1"/>
  <c r="O2156" i="1"/>
  <c r="O2156" i="1" a="1"/>
  <c r="N2156" i="1"/>
  <c r="M2156" i="1"/>
  <c r="O2155" i="1"/>
  <c r="O2155" i="1" a="1"/>
  <c r="N2155" i="1"/>
  <c r="M2155" i="1"/>
  <c r="O2154" i="1"/>
  <c r="O2154" i="1" a="1"/>
  <c r="N2154" i="1"/>
  <c r="M2154" i="1"/>
  <c r="O2153" i="1"/>
  <c r="O2153" i="1" a="1"/>
  <c r="N2153" i="1"/>
  <c r="M2153" i="1"/>
  <c r="O2152" i="1"/>
  <c r="O2152" i="1" a="1"/>
  <c r="N2152" i="1"/>
  <c r="M2152" i="1"/>
  <c r="O2151" i="1"/>
  <c r="O2151" i="1" a="1"/>
  <c r="N2151" i="1"/>
  <c r="M2151" i="1"/>
  <c r="O2150" i="1"/>
  <c r="O2150" i="1" a="1"/>
  <c r="N2150" i="1"/>
  <c r="M2150" i="1"/>
  <c r="O2149" i="1"/>
  <c r="O2149" i="1" a="1"/>
  <c r="N2149" i="1"/>
  <c r="M2149" i="1"/>
  <c r="O2148" i="1"/>
  <c r="O2148" i="1" a="1"/>
  <c r="N2148" i="1"/>
  <c r="M2148" i="1"/>
  <c r="O2147" i="1"/>
  <c r="O2147" i="1" a="1"/>
  <c r="N2147" i="1"/>
  <c r="M2147" i="1"/>
  <c r="O2146" i="1"/>
  <c r="O2146" i="1" a="1"/>
  <c r="N2146" i="1"/>
  <c r="M2146" i="1"/>
  <c r="O2145" i="1"/>
  <c r="O2145" i="1" a="1"/>
  <c r="N2145" i="1"/>
  <c r="M2145" i="1"/>
  <c r="O2144" i="1"/>
  <c r="O2144" i="1" a="1"/>
  <c r="N2144" i="1"/>
  <c r="M2144" i="1"/>
  <c r="O2143" i="1"/>
  <c r="O2143" i="1" a="1"/>
  <c r="N2143" i="1"/>
  <c r="M2143" i="1"/>
  <c r="O2142" i="1"/>
  <c r="O2142" i="1" a="1"/>
  <c r="N2142" i="1"/>
  <c r="M2142" i="1"/>
  <c r="O2141" i="1"/>
  <c r="O2141" i="1" a="1"/>
  <c r="N2141" i="1"/>
  <c r="M2141" i="1"/>
  <c r="O2140" i="1"/>
  <c r="O2140" i="1" a="1"/>
  <c r="N2140" i="1"/>
  <c r="M2140" i="1"/>
  <c r="O2139" i="1"/>
  <c r="O2139" i="1" a="1"/>
  <c r="N2139" i="1"/>
  <c r="M2139" i="1"/>
  <c r="O2138" i="1"/>
  <c r="O2138" i="1" a="1"/>
  <c r="N2138" i="1"/>
  <c r="M2138" i="1"/>
  <c r="O2137" i="1"/>
  <c r="O2137" i="1" a="1"/>
  <c r="N2137" i="1"/>
  <c r="M2137" i="1"/>
  <c r="O2136" i="1"/>
  <c r="O2136" i="1" a="1"/>
  <c r="N2136" i="1"/>
  <c r="M2136" i="1"/>
  <c r="O2135" i="1"/>
  <c r="O2135" i="1" a="1"/>
  <c r="N2135" i="1"/>
  <c r="M2135" i="1"/>
  <c r="O2134" i="1"/>
  <c r="O2134" i="1" a="1"/>
  <c r="N2134" i="1"/>
  <c r="M2134" i="1"/>
  <c r="O2133" i="1"/>
  <c r="O2133" i="1" a="1"/>
  <c r="N2133" i="1"/>
  <c r="M2133" i="1"/>
  <c r="O2132" i="1"/>
  <c r="O2132" i="1" a="1"/>
  <c r="N2132" i="1"/>
  <c r="M2132" i="1"/>
  <c r="O2131" i="1"/>
  <c r="O2131" i="1" a="1"/>
  <c r="N2131" i="1"/>
  <c r="M2131" i="1"/>
  <c r="O2130" i="1"/>
  <c r="O2130" i="1" a="1"/>
  <c r="N2130" i="1"/>
  <c r="M2130" i="1"/>
  <c r="O2129" i="1"/>
  <c r="O2129" i="1" a="1"/>
  <c r="N2129" i="1"/>
  <c r="M2129" i="1"/>
  <c r="O2128" i="1"/>
  <c r="O2128" i="1" a="1"/>
  <c r="N2128" i="1"/>
  <c r="M2128" i="1"/>
  <c r="O2127" i="1"/>
  <c r="O2127" i="1" a="1"/>
  <c r="N2127" i="1"/>
  <c r="M2127" i="1"/>
  <c r="O2126" i="1"/>
  <c r="O2126" i="1" a="1"/>
  <c r="N2126" i="1"/>
  <c r="M2126" i="1"/>
  <c r="O2125" i="1"/>
  <c r="O2125" i="1" a="1"/>
  <c r="N2125" i="1"/>
  <c r="M2125" i="1"/>
  <c r="O2124" i="1"/>
  <c r="O2124" i="1" a="1"/>
  <c r="N2124" i="1"/>
  <c r="M2124" i="1"/>
  <c r="O2123" i="1"/>
  <c r="O2123" i="1" a="1"/>
  <c r="N2123" i="1"/>
  <c r="M2123" i="1"/>
  <c r="O2122" i="1"/>
  <c r="O2122" i="1" a="1"/>
  <c r="N2122" i="1"/>
  <c r="M2122" i="1"/>
  <c r="O2121" i="1"/>
  <c r="O2121" i="1" a="1"/>
  <c r="N2121" i="1"/>
  <c r="M2121" i="1"/>
  <c r="O2120" i="1"/>
  <c r="O2120" i="1" a="1"/>
  <c r="N2120" i="1"/>
  <c r="M2120" i="1"/>
  <c r="O2119" i="1"/>
  <c r="O2119" i="1" a="1"/>
  <c r="N2119" i="1"/>
  <c r="M2119" i="1"/>
  <c r="O2118" i="1"/>
  <c r="O2118" i="1" a="1"/>
  <c r="N2118" i="1"/>
  <c r="M2118" i="1"/>
  <c r="O2117" i="1"/>
  <c r="O2117" i="1" a="1"/>
  <c r="N2117" i="1"/>
  <c r="M2117" i="1"/>
  <c r="O2116" i="1"/>
  <c r="O2116" i="1" a="1"/>
  <c r="N2116" i="1"/>
  <c r="M2116" i="1"/>
  <c r="O2115" i="1"/>
  <c r="O2115" i="1" a="1"/>
  <c r="N2115" i="1"/>
  <c r="M2115" i="1"/>
  <c r="O2114" i="1"/>
  <c r="O2114" i="1" a="1"/>
  <c r="N2114" i="1"/>
  <c r="M2114" i="1"/>
  <c r="O2113" i="1"/>
  <c r="O2113" i="1" a="1"/>
  <c r="N2113" i="1"/>
  <c r="M2113" i="1"/>
  <c r="O2112" i="1"/>
  <c r="O2112" i="1" a="1"/>
  <c r="N2112" i="1"/>
  <c r="M2112" i="1"/>
  <c r="O2111" i="1"/>
  <c r="O2111" i="1" a="1"/>
  <c r="N2111" i="1"/>
  <c r="M2111" i="1"/>
  <c r="O2110" i="1"/>
  <c r="O2110" i="1" a="1"/>
  <c r="N2110" i="1"/>
  <c r="M2110" i="1"/>
  <c r="O2109" i="1"/>
  <c r="O2109" i="1" a="1"/>
  <c r="N2109" i="1"/>
  <c r="M2109" i="1"/>
  <c r="O2108" i="1"/>
  <c r="O2108" i="1" a="1"/>
  <c r="N2108" i="1"/>
  <c r="M2108" i="1"/>
  <c r="O2107" i="1"/>
  <c r="O2107" i="1" a="1"/>
  <c r="N2107" i="1"/>
  <c r="M2107" i="1"/>
  <c r="O2106" i="1"/>
  <c r="O2106" i="1" a="1"/>
  <c r="N2106" i="1"/>
  <c r="M2106" i="1"/>
  <c r="O2105" i="1"/>
  <c r="O2105" i="1" a="1"/>
  <c r="N2105" i="1"/>
  <c r="M2105" i="1"/>
  <c r="O2104" i="1"/>
  <c r="O2104" i="1" a="1"/>
  <c r="N2104" i="1"/>
  <c r="M2104" i="1"/>
  <c r="O2103" i="1"/>
  <c r="O2103" i="1" a="1"/>
  <c r="N2103" i="1"/>
  <c r="M2103" i="1"/>
  <c r="O2102" i="1"/>
  <c r="O2102" i="1" a="1"/>
  <c r="N2102" i="1"/>
  <c r="M2102" i="1"/>
  <c r="O2101" i="1"/>
  <c r="O2101" i="1" a="1"/>
  <c r="N2101" i="1"/>
  <c r="M2101" i="1"/>
  <c r="O2100" i="1"/>
  <c r="O2100" i="1" a="1"/>
  <c r="N2100" i="1"/>
  <c r="M2100" i="1"/>
  <c r="O2099" i="1"/>
  <c r="O2099" i="1" a="1"/>
  <c r="N2099" i="1"/>
  <c r="M2099" i="1"/>
  <c r="O2098" i="1"/>
  <c r="O2098" i="1" a="1"/>
  <c r="N2098" i="1"/>
  <c r="M2098" i="1"/>
  <c r="O2097" i="1"/>
  <c r="O2097" i="1" a="1"/>
  <c r="N2097" i="1"/>
  <c r="M2097" i="1"/>
  <c r="O2096" i="1"/>
  <c r="O2096" i="1" a="1"/>
  <c r="N2096" i="1"/>
  <c r="M2096" i="1"/>
  <c r="O2095" i="1"/>
  <c r="O2095" i="1" a="1"/>
  <c r="N2095" i="1"/>
  <c r="M2095" i="1"/>
  <c r="O2094" i="1"/>
  <c r="O2094" i="1" a="1"/>
  <c r="N2094" i="1"/>
  <c r="M2094" i="1"/>
  <c r="O2093" i="1"/>
  <c r="O2093" i="1" a="1"/>
  <c r="N2093" i="1"/>
  <c r="M2093" i="1"/>
  <c r="O2092" i="1"/>
  <c r="O2092" i="1" a="1"/>
  <c r="N2092" i="1"/>
  <c r="M2092" i="1"/>
  <c r="O2091" i="1"/>
  <c r="O2091" i="1" a="1"/>
  <c r="N2091" i="1"/>
  <c r="M2091" i="1"/>
  <c r="O2090" i="1"/>
  <c r="O2090" i="1" a="1"/>
  <c r="N2090" i="1"/>
  <c r="M2090" i="1"/>
  <c r="O2089" i="1"/>
  <c r="O2089" i="1" a="1"/>
  <c r="N2089" i="1"/>
  <c r="M2089" i="1"/>
  <c r="O2088" i="1"/>
  <c r="O2088" i="1" a="1"/>
  <c r="N2088" i="1"/>
  <c r="M2088" i="1"/>
  <c r="O2087" i="1"/>
  <c r="O2087" i="1" a="1"/>
  <c r="N2087" i="1"/>
  <c r="M2087" i="1"/>
  <c r="O2086" i="1"/>
  <c r="O2086" i="1" a="1"/>
  <c r="N2086" i="1"/>
  <c r="M2086" i="1"/>
  <c r="O2085" i="1"/>
  <c r="O2085" i="1" a="1"/>
  <c r="N2085" i="1"/>
  <c r="M2085" i="1"/>
  <c r="O2084" i="1"/>
  <c r="O2084" i="1" a="1"/>
  <c r="N2084" i="1"/>
  <c r="M2084" i="1"/>
  <c r="O2083" i="1"/>
  <c r="O2083" i="1" a="1"/>
  <c r="N2083" i="1"/>
  <c r="M2083" i="1"/>
  <c r="O2082" i="1"/>
  <c r="O2082" i="1" a="1"/>
  <c r="N2082" i="1"/>
  <c r="M2082" i="1"/>
  <c r="O2081" i="1"/>
  <c r="O2081" i="1" a="1"/>
  <c r="N2081" i="1"/>
  <c r="M2081" i="1"/>
  <c r="O2080" i="1"/>
  <c r="O2080" i="1" a="1"/>
  <c r="N2080" i="1"/>
  <c r="M2080" i="1"/>
  <c r="O2079" i="1"/>
  <c r="O2079" i="1" a="1"/>
  <c r="N2079" i="1"/>
  <c r="M2079" i="1"/>
  <c r="O2078" i="1"/>
  <c r="O2078" i="1" a="1"/>
  <c r="N2078" i="1"/>
  <c r="M2078" i="1"/>
  <c r="O2077" i="1"/>
  <c r="O2077" i="1" a="1"/>
  <c r="N2077" i="1"/>
  <c r="M2077" i="1"/>
  <c r="O2076" i="1"/>
  <c r="O2076" i="1" a="1"/>
  <c r="N2076" i="1"/>
  <c r="M2076" i="1"/>
  <c r="O2075" i="1"/>
  <c r="O2075" i="1" a="1"/>
  <c r="N2075" i="1"/>
  <c r="M2075" i="1"/>
  <c r="O2074" i="1"/>
  <c r="O2074" i="1" a="1"/>
  <c r="N2074" i="1"/>
  <c r="M2074" i="1"/>
  <c r="O2073" i="1"/>
  <c r="O2073" i="1" a="1"/>
  <c r="N2073" i="1"/>
  <c r="M2073" i="1"/>
  <c r="O2072" i="1"/>
  <c r="O2072" i="1" a="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c r="O2065" i="1" a="1"/>
  <c r="N2065" i="1"/>
  <c r="M2065" i="1"/>
  <c r="O2064" i="1"/>
  <c r="O2064" i="1" a="1"/>
  <c r="N2064" i="1"/>
  <c r="M2064" i="1"/>
  <c r="O2063" i="1"/>
  <c r="O2063" i="1" a="1"/>
  <c r="N2063" i="1"/>
  <c r="M2063" i="1"/>
  <c r="O2062" i="1"/>
  <c r="O2062" i="1" a="1"/>
  <c r="N2062" i="1"/>
  <c r="M2062" i="1"/>
  <c r="O2061" i="1"/>
  <c r="O2061" i="1" a="1"/>
  <c r="N2061" i="1"/>
  <c r="M2061" i="1"/>
  <c r="O2060" i="1"/>
  <c r="O2060" i="1" a="1"/>
  <c r="N2060" i="1"/>
  <c r="M2060" i="1"/>
  <c r="O2059" i="1"/>
  <c r="O2059" i="1" a="1"/>
  <c r="N2059" i="1"/>
  <c r="M2059" i="1"/>
  <c r="O2058" i="1"/>
  <c r="O2058" i="1" a="1"/>
  <c r="N2058" i="1"/>
  <c r="M2058" i="1"/>
  <c r="O2057" i="1"/>
  <c r="O2057" i="1" a="1"/>
  <c r="N2057" i="1"/>
  <c r="M2057" i="1"/>
  <c r="O2056" i="1"/>
  <c r="O2056" i="1" a="1"/>
  <c r="N2056" i="1"/>
  <c r="M2056" i="1"/>
  <c r="O2055" i="1"/>
  <c r="O2055" i="1" a="1"/>
  <c r="N2055" i="1"/>
  <c r="M2055" i="1"/>
  <c r="O2054" i="1"/>
  <c r="O2054" i="1" a="1"/>
  <c r="N2054" i="1"/>
  <c r="M2054" i="1"/>
  <c r="O2053" i="1"/>
  <c r="O2053" i="1" a="1"/>
  <c r="N2053" i="1"/>
  <c r="M2053" i="1"/>
  <c r="O2052" i="1"/>
  <c r="O2052" i="1" a="1"/>
  <c r="N2052" i="1"/>
  <c r="M2052" i="1"/>
  <c r="O2051" i="1"/>
  <c r="O2051" i="1" a="1"/>
  <c r="N2051" i="1"/>
  <c r="M2051" i="1"/>
  <c r="O2050" i="1"/>
  <c r="O2050" i="1" a="1"/>
  <c r="N2050" i="1"/>
  <c r="M2050" i="1"/>
  <c r="O2049" i="1"/>
  <c r="O2049" i="1" a="1"/>
  <c r="N2049" i="1"/>
  <c r="M2049" i="1"/>
  <c r="O2048" i="1"/>
  <c r="O2048" i="1" a="1"/>
  <c r="N2048" i="1"/>
  <c r="M2048" i="1"/>
  <c r="O2047" i="1"/>
  <c r="O2047" i="1" a="1"/>
  <c r="N2047" i="1"/>
  <c r="M2047" i="1"/>
  <c r="O2046" i="1"/>
  <c r="O2046" i="1" a="1"/>
  <c r="N2046" i="1"/>
  <c r="M2046" i="1"/>
  <c r="O2045" i="1"/>
  <c r="O2045" i="1" a="1"/>
  <c r="N2045" i="1"/>
  <c r="M2045" i="1"/>
  <c r="O2044" i="1"/>
  <c r="O2044" i="1" a="1"/>
  <c r="N2044" i="1"/>
  <c r="M2044" i="1"/>
  <c r="O2043" i="1"/>
  <c r="O2043" i="1" a="1"/>
  <c r="N2043" i="1"/>
  <c r="M2043" i="1"/>
  <c r="O2042" i="1"/>
  <c r="O2042" i="1" a="1"/>
  <c r="N2042" i="1"/>
  <c r="M2042" i="1"/>
  <c r="O2041" i="1"/>
  <c r="O2041" i="1" a="1"/>
  <c r="N2041" i="1"/>
  <c r="M2041" i="1"/>
  <c r="O2040" i="1"/>
  <c r="O2040" i="1" a="1"/>
  <c r="N2040" i="1"/>
  <c r="M2040" i="1"/>
  <c r="O2039" i="1"/>
  <c r="O2039" i="1" a="1"/>
  <c r="N2039" i="1"/>
  <c r="M2039" i="1"/>
  <c r="O2038" i="1"/>
  <c r="O2038" i="1" a="1"/>
  <c r="N2038" i="1"/>
  <c r="M2038" i="1"/>
  <c r="O2037" i="1"/>
  <c r="O2037" i="1" a="1"/>
  <c r="N2037" i="1"/>
  <c r="M2037" i="1"/>
  <c r="O2036" i="1"/>
  <c r="O2036" i="1" a="1"/>
  <c r="N2036" i="1"/>
  <c r="M2036" i="1"/>
  <c r="O2035" i="1"/>
  <c r="O2035" i="1" a="1"/>
  <c r="N2035" i="1"/>
  <c r="M2035" i="1"/>
  <c r="O2034" i="1"/>
  <c r="O2034" i="1" a="1"/>
  <c r="N2034" i="1"/>
  <c r="M2034" i="1"/>
  <c r="O2033" i="1"/>
  <c r="O2033" i="1" a="1"/>
  <c r="N2033" i="1"/>
  <c r="M2033" i="1"/>
  <c r="O2032" i="1"/>
  <c r="O2032" i="1" a="1"/>
  <c r="N2032" i="1"/>
  <c r="M2032" i="1"/>
  <c r="O2031" i="1"/>
  <c r="O2031" i="1" a="1"/>
  <c r="N2031" i="1"/>
  <c r="M2031" i="1"/>
  <c r="O2030" i="1"/>
  <c r="O2030" i="1" a="1"/>
  <c r="N2030" i="1"/>
  <c r="M2030" i="1"/>
  <c r="O2029" i="1"/>
  <c r="O2029" i="1" a="1"/>
  <c r="N2029" i="1"/>
  <c r="M2029" i="1"/>
  <c r="O2028" i="1"/>
  <c r="O2028" i="1" a="1"/>
  <c r="N2028" i="1"/>
  <c r="M2028" i="1"/>
  <c r="O2027" i="1"/>
  <c r="O2027" i="1" a="1"/>
  <c r="N2027" i="1"/>
  <c r="M2027" i="1"/>
  <c r="O2026" i="1"/>
  <c r="O2026" i="1" a="1"/>
  <c r="N2026" i="1"/>
  <c r="M2026" i="1"/>
  <c r="O2025" i="1"/>
  <c r="O2025" i="1" a="1"/>
  <c r="N2025" i="1"/>
  <c r="M2025" i="1"/>
  <c r="O2024" i="1"/>
  <c r="O2024" i="1" a="1"/>
  <c r="N2024" i="1"/>
  <c r="M2024" i="1"/>
  <c r="O2023" i="1"/>
  <c r="O2023" i="1" a="1"/>
  <c r="N2023" i="1"/>
  <c r="M2023" i="1"/>
  <c r="O2022" i="1"/>
  <c r="O2022" i="1" a="1"/>
  <c r="N2022" i="1"/>
  <c r="M2022" i="1"/>
  <c r="O2021" i="1"/>
  <c r="O2021" i="1" a="1"/>
  <c r="N2021" i="1"/>
  <c r="M2021" i="1"/>
  <c r="O2020" i="1"/>
  <c r="O2020" i="1" a="1"/>
  <c r="N2020" i="1"/>
  <c r="M2020" i="1"/>
  <c r="O2019" i="1"/>
  <c r="O2019" i="1" a="1"/>
  <c r="N2019" i="1"/>
  <c r="M2019" i="1"/>
  <c r="O2018" i="1"/>
  <c r="O2018" i="1" a="1"/>
  <c r="N2018" i="1"/>
  <c r="M2018" i="1"/>
  <c r="O2017" i="1"/>
  <c r="O2017" i="1" a="1"/>
  <c r="N2017" i="1"/>
  <c r="M2017" i="1"/>
  <c r="O2016" i="1"/>
  <c r="O2016" i="1" a="1"/>
  <c r="N2016" i="1"/>
  <c r="M2016" i="1"/>
  <c r="O2015" i="1"/>
  <c r="O2015" i="1" a="1"/>
  <c r="N2015" i="1"/>
  <c r="M2015" i="1"/>
  <c r="O2014" i="1"/>
  <c r="O2014" i="1" a="1"/>
  <c r="N2014" i="1"/>
  <c r="M2014" i="1"/>
  <c r="O2013" i="1"/>
  <c r="O2013" i="1" a="1"/>
  <c r="N2013" i="1"/>
  <c r="M2013" i="1"/>
  <c r="O2012" i="1"/>
  <c r="O2012" i="1" a="1"/>
  <c r="N2012" i="1"/>
  <c r="M2012" i="1"/>
  <c r="O2011" i="1"/>
  <c r="O2011" i="1" a="1"/>
  <c r="N2011" i="1"/>
  <c r="M2011" i="1"/>
  <c r="O2010" i="1"/>
  <c r="O2010" i="1" a="1"/>
  <c r="N2010" i="1"/>
  <c r="M2010" i="1"/>
  <c r="O2009" i="1"/>
  <c r="O2009" i="1" a="1"/>
  <c r="N2009" i="1"/>
  <c r="M2009" i="1"/>
  <c r="O2008" i="1"/>
  <c r="O2008" i="1" a="1"/>
  <c r="N2008" i="1"/>
  <c r="M2008" i="1"/>
  <c r="O2007" i="1"/>
  <c r="O2007" i="1" a="1"/>
  <c r="N2007" i="1"/>
  <c r="M2007" i="1"/>
  <c r="O2006" i="1"/>
  <c r="O2006" i="1" a="1"/>
  <c r="N2006" i="1"/>
  <c r="M2006" i="1"/>
  <c r="O2005" i="1"/>
  <c r="O2005" i="1" a="1"/>
  <c r="N2005" i="1"/>
  <c r="M2005" i="1"/>
  <c r="O2004" i="1"/>
  <c r="O2004" i="1" a="1"/>
  <c r="N2004" i="1"/>
  <c r="M2004" i="1"/>
  <c r="O2003" i="1"/>
  <c r="O2003" i="1" a="1"/>
  <c r="N2003" i="1"/>
  <c r="M2003" i="1"/>
  <c r="O2002" i="1"/>
  <c r="O2002" i="1" a="1"/>
  <c r="N2002" i="1"/>
  <c r="M2002" i="1"/>
  <c r="O2001" i="1"/>
  <c r="O2001" i="1" a="1"/>
  <c r="N2001" i="1"/>
  <c r="M2001" i="1"/>
  <c r="O2000" i="1"/>
  <c r="O2000" i="1" a="1"/>
  <c r="N2000" i="1"/>
  <c r="M2000" i="1"/>
  <c r="O1999" i="1"/>
  <c r="O1999" i="1" a="1"/>
  <c r="N1999" i="1"/>
  <c r="M1999" i="1"/>
  <c r="O1998" i="1"/>
  <c r="O1998" i="1" a="1"/>
  <c r="N1998" i="1"/>
  <c r="M1998" i="1"/>
  <c r="O1997" i="1"/>
  <c r="O1997" i="1" a="1"/>
  <c r="N1997" i="1"/>
  <c r="M1997" i="1"/>
  <c r="O1996" i="1"/>
  <c r="O1996" i="1" a="1"/>
  <c r="N1996" i="1"/>
  <c r="M1996" i="1"/>
  <c r="O1995" i="1"/>
  <c r="O1995" i="1" a="1"/>
  <c r="N1995" i="1"/>
  <c r="M1995" i="1"/>
  <c r="O1994" i="1"/>
  <c r="O1994" i="1" a="1"/>
  <c r="N1994" i="1"/>
  <c r="M1994" i="1"/>
  <c r="O1993" i="1"/>
  <c r="O1993" i="1" a="1"/>
  <c r="N1993" i="1"/>
  <c r="M1993" i="1"/>
  <c r="O1992" i="1"/>
  <c r="O1992" i="1" a="1"/>
  <c r="N1992" i="1"/>
  <c r="M1992" i="1"/>
  <c r="O1991" i="1"/>
  <c r="O1991" i="1" a="1"/>
  <c r="N1991" i="1"/>
  <c r="M1991" i="1"/>
  <c r="O1990" i="1"/>
  <c r="O1990" i="1" a="1"/>
  <c r="N1990" i="1"/>
  <c r="M1990" i="1"/>
  <c r="O1989" i="1"/>
  <c r="O1989" i="1" a="1"/>
  <c r="N1989" i="1"/>
  <c r="M1989" i="1"/>
  <c r="O1988" i="1"/>
  <c r="O1988" i="1" a="1"/>
  <c r="N1988" i="1"/>
  <c r="M1988" i="1"/>
  <c r="O1987" i="1"/>
  <c r="O1987" i="1" a="1"/>
  <c r="N1987" i="1"/>
  <c r="M1987" i="1"/>
  <c r="O1986" i="1"/>
  <c r="O1986" i="1" a="1"/>
  <c r="N1986" i="1"/>
  <c r="M1986" i="1"/>
  <c r="O1985" i="1"/>
  <c r="O1985" i="1" a="1"/>
  <c r="N1985" i="1"/>
  <c r="M1985" i="1"/>
  <c r="O1984" i="1"/>
  <c r="O1984" i="1" a="1"/>
  <c r="N1984" i="1"/>
  <c r="M1984" i="1"/>
  <c r="O1983" i="1"/>
  <c r="O1983" i="1" a="1"/>
  <c r="N1983" i="1"/>
  <c r="M1983" i="1"/>
  <c r="O1982" i="1"/>
  <c r="O1982" i="1" a="1"/>
  <c r="N1982" i="1"/>
  <c r="M1982" i="1"/>
  <c r="O1981" i="1"/>
  <c r="O1981" i="1" a="1"/>
  <c r="N1981" i="1"/>
  <c r="M1981" i="1"/>
  <c r="O1980" i="1"/>
  <c r="O1980" i="1" a="1"/>
  <c r="N1980" i="1"/>
  <c r="M1980" i="1"/>
  <c r="O1979" i="1"/>
  <c r="O1979" i="1" a="1"/>
  <c r="N1979" i="1"/>
  <c r="M1979" i="1"/>
  <c r="O1978" i="1"/>
  <c r="O1978" i="1" a="1"/>
  <c r="N1978" i="1"/>
  <c r="M1978" i="1"/>
  <c r="O1977" i="1"/>
  <c r="O1977" i="1" a="1"/>
  <c r="N1977" i="1"/>
  <c r="M1977" i="1"/>
  <c r="O1976" i="1"/>
  <c r="O1976" i="1" a="1"/>
  <c r="N1976" i="1"/>
  <c r="M1976" i="1"/>
  <c r="O1975" i="1"/>
  <c r="O1975" i="1" a="1"/>
  <c r="N1975" i="1"/>
  <c r="M1975" i="1"/>
  <c r="O1974" i="1"/>
  <c r="O1974" i="1" a="1"/>
  <c r="N1974" i="1"/>
  <c r="M1974" i="1"/>
  <c r="O1973" i="1"/>
  <c r="O1973" i="1" a="1"/>
  <c r="N1973" i="1"/>
  <c r="M1973" i="1"/>
  <c r="O1972" i="1"/>
  <c r="O1972" i="1" a="1"/>
  <c r="N1972" i="1"/>
  <c r="M1972" i="1"/>
  <c r="O1971" i="1"/>
  <c r="O1971" i="1" a="1"/>
  <c r="N1971" i="1"/>
  <c r="M1971" i="1"/>
  <c r="O1970" i="1"/>
  <c r="O1970" i="1" a="1"/>
  <c r="N1970" i="1"/>
  <c r="M1970" i="1"/>
  <c r="O1969" i="1"/>
  <c r="O1969" i="1" a="1"/>
  <c r="N1969" i="1"/>
  <c r="M1969" i="1"/>
  <c r="O1968" i="1"/>
  <c r="O1968" i="1" a="1"/>
  <c r="N1968" i="1"/>
  <c r="M1968" i="1"/>
  <c r="O1967" i="1"/>
  <c r="O1967" i="1" a="1"/>
  <c r="N1967" i="1"/>
  <c r="M1967" i="1"/>
  <c r="O1966" i="1"/>
  <c r="O1966" i="1" a="1"/>
  <c r="N1966" i="1"/>
  <c r="M1966" i="1"/>
  <c r="O1965" i="1"/>
  <c r="O1965" i="1" a="1"/>
  <c r="N1965" i="1"/>
  <c r="M1965" i="1"/>
  <c r="O1964" i="1"/>
  <c r="O1964" i="1" a="1"/>
  <c r="N1964" i="1"/>
  <c r="M1964" i="1"/>
  <c r="O1963" i="1"/>
  <c r="O1963" i="1" a="1"/>
  <c r="N1963" i="1"/>
  <c r="M1963" i="1"/>
  <c r="O1962" i="1"/>
  <c r="O1962" i="1" a="1"/>
  <c r="N1962" i="1"/>
  <c r="M1962" i="1"/>
  <c r="O1961" i="1"/>
  <c r="O1961" i="1" a="1"/>
  <c r="N1961" i="1"/>
  <c r="M1961" i="1"/>
  <c r="O1960" i="1"/>
  <c r="O1960" i="1" a="1"/>
  <c r="N1960" i="1"/>
  <c r="M1960" i="1"/>
  <c r="O1959" i="1"/>
  <c r="O1959" i="1" a="1"/>
  <c r="N1959" i="1"/>
  <c r="M1959" i="1"/>
  <c r="O1958" i="1"/>
  <c r="O1958" i="1" a="1"/>
  <c r="N1958" i="1"/>
  <c r="M1958" i="1"/>
  <c r="O1957" i="1"/>
  <c r="O1957" i="1" a="1"/>
  <c r="N1957" i="1"/>
  <c r="M1957" i="1"/>
  <c r="O1956" i="1"/>
  <c r="O1956" i="1" a="1"/>
  <c r="N1956" i="1"/>
  <c r="M1956" i="1"/>
  <c r="O1955" i="1"/>
  <c r="O1955" i="1" a="1"/>
  <c r="N1955" i="1"/>
  <c r="M1955" i="1"/>
  <c r="O1954" i="1"/>
  <c r="O1954" i="1" a="1"/>
  <c r="N1954" i="1"/>
  <c r="M1954" i="1"/>
  <c r="O1953" i="1"/>
  <c r="O1953" i="1" a="1"/>
  <c r="N1953" i="1"/>
  <c r="M1953" i="1"/>
  <c r="O1952" i="1"/>
  <c r="O1952" i="1" a="1"/>
  <c r="N1952" i="1"/>
  <c r="M1952" i="1"/>
  <c r="O1951" i="1"/>
  <c r="O1951" i="1" a="1"/>
  <c r="N1951" i="1"/>
  <c r="M1951" i="1"/>
  <c r="O1950" i="1"/>
  <c r="O1950" i="1" a="1"/>
  <c r="N1950" i="1"/>
  <c r="M1950" i="1"/>
  <c r="O1949" i="1"/>
  <c r="O1949" i="1" a="1"/>
  <c r="N1949" i="1"/>
  <c r="M1949" i="1"/>
  <c r="O1948" i="1"/>
  <c r="O1948" i="1" a="1"/>
  <c r="N1948" i="1"/>
  <c r="M1948" i="1"/>
  <c r="O1947" i="1"/>
  <c r="O1947" i="1" a="1"/>
  <c r="N1947" i="1"/>
  <c r="M1947" i="1"/>
  <c r="O1946" i="1"/>
  <c r="O1946" i="1" a="1"/>
  <c r="N1946" i="1"/>
  <c r="M1946" i="1"/>
  <c r="O1945" i="1"/>
  <c r="O1945" i="1" a="1"/>
  <c r="N1945" i="1"/>
  <c r="M1945" i="1"/>
  <c r="O1944" i="1"/>
  <c r="O1944" i="1" a="1"/>
  <c r="N1944" i="1"/>
  <c r="M1944" i="1"/>
  <c r="O1943" i="1"/>
  <c r="O1943" i="1" a="1"/>
  <c r="N1943" i="1"/>
  <c r="M1943" i="1"/>
  <c r="O1942" i="1"/>
  <c r="O1942" i="1" a="1"/>
  <c r="N1942" i="1"/>
  <c r="M1942" i="1"/>
  <c r="O1941" i="1"/>
  <c r="O1941" i="1" a="1"/>
  <c r="N1941" i="1"/>
  <c r="M1941" i="1"/>
  <c r="O1940" i="1"/>
  <c r="O1940" i="1" a="1"/>
  <c r="N1940" i="1"/>
  <c r="M1940" i="1"/>
  <c r="O1939" i="1"/>
  <c r="O1939" i="1" a="1"/>
  <c r="N1939" i="1"/>
  <c r="M1939" i="1"/>
  <c r="O1938" i="1"/>
  <c r="O1938" i="1" a="1"/>
  <c r="N1938" i="1"/>
  <c r="M1938" i="1"/>
  <c r="O1937" i="1"/>
  <c r="O1937" i="1" a="1"/>
  <c r="N1937" i="1"/>
  <c r="M1937" i="1"/>
  <c r="O1936" i="1"/>
  <c r="O1936" i="1" a="1"/>
  <c r="N1936" i="1"/>
  <c r="M1936" i="1"/>
  <c r="O1935" i="1"/>
  <c r="O1935" i="1" a="1"/>
  <c r="N1935" i="1"/>
  <c r="M1935" i="1"/>
  <c r="O1934" i="1"/>
  <c r="O1934" i="1" a="1"/>
  <c r="N1934" i="1"/>
  <c r="M1934" i="1"/>
  <c r="O1933" i="1"/>
  <c r="O1933" i="1" a="1"/>
  <c r="N1933" i="1"/>
  <c r="M1933" i="1"/>
  <c r="O1932" i="1"/>
  <c r="O1932" i="1" a="1"/>
  <c r="N1932" i="1"/>
  <c r="M1932" i="1"/>
  <c r="O1931" i="1"/>
  <c r="O1931" i="1" a="1"/>
  <c r="N1931" i="1"/>
  <c r="M1931" i="1"/>
  <c r="O1930" i="1"/>
  <c r="O1930" i="1" a="1"/>
  <c r="N1930" i="1"/>
  <c r="M1930" i="1"/>
  <c r="O1929" i="1"/>
  <c r="O1929" i="1" a="1"/>
  <c r="N1929" i="1"/>
  <c r="M1929" i="1"/>
  <c r="O1928" i="1"/>
  <c r="O1928" i="1" a="1"/>
  <c r="N1928" i="1"/>
  <c r="M1928" i="1"/>
  <c r="O1927" i="1"/>
  <c r="O1927" i="1" a="1"/>
  <c r="N1927" i="1"/>
  <c r="M1927" i="1"/>
  <c r="O1926" i="1"/>
  <c r="O1926" i="1" a="1"/>
  <c r="N1926" i="1"/>
  <c r="M1926" i="1"/>
  <c r="O1925" i="1"/>
  <c r="O1925" i="1" a="1"/>
  <c r="N1925" i="1"/>
  <c r="M1925" i="1"/>
  <c r="O1924" i="1"/>
  <c r="O1924" i="1" a="1"/>
  <c r="N1924" i="1"/>
  <c r="M1924" i="1"/>
  <c r="O1923" i="1"/>
  <c r="O1923" i="1" a="1"/>
  <c r="N1923" i="1"/>
  <c r="M1923" i="1"/>
  <c r="O1922" i="1"/>
  <c r="O1922" i="1" a="1"/>
  <c r="N1922" i="1"/>
  <c r="M1922" i="1"/>
  <c r="O1921" i="1"/>
  <c r="O1921" i="1" a="1"/>
  <c r="N1921" i="1"/>
  <c r="M1921" i="1"/>
  <c r="O1920" i="1"/>
  <c r="O1920" i="1" a="1"/>
  <c r="N1920" i="1"/>
  <c r="M1920" i="1"/>
  <c r="O1919" i="1"/>
  <c r="O1919" i="1" a="1"/>
  <c r="N1919" i="1"/>
  <c r="M1919" i="1"/>
  <c r="O1918" i="1"/>
  <c r="O1918" i="1" a="1"/>
  <c r="N1918" i="1"/>
  <c r="M1918" i="1"/>
  <c r="O1917" i="1"/>
  <c r="O1917" i="1" a="1"/>
  <c r="N1917" i="1"/>
  <c r="M1917" i="1"/>
  <c r="O1916" i="1"/>
  <c r="O1916" i="1" a="1"/>
  <c r="N1916" i="1"/>
  <c r="M1916" i="1"/>
  <c r="O1915" i="1"/>
  <c r="O1915" i="1" a="1"/>
  <c r="N1915" i="1"/>
  <c r="M1915" i="1"/>
  <c r="O1914" i="1"/>
  <c r="O1914" i="1" a="1"/>
  <c r="N1914" i="1"/>
  <c r="M1914" i="1"/>
  <c r="O1913" i="1"/>
  <c r="O1913" i="1" a="1"/>
  <c r="N1913" i="1"/>
  <c r="M1913" i="1"/>
  <c r="O1912" i="1"/>
  <c r="O1912" i="1" a="1"/>
  <c r="N1912" i="1"/>
  <c r="M1912" i="1"/>
  <c r="O1911" i="1"/>
  <c r="O1911" i="1" a="1"/>
  <c r="N1911" i="1"/>
  <c r="M1911" i="1"/>
  <c r="O1910" i="1"/>
  <c r="O1910" i="1" a="1"/>
  <c r="N1910" i="1"/>
  <c r="M1910" i="1"/>
  <c r="O1909" i="1"/>
  <c r="O1909" i="1" a="1"/>
  <c r="N1909" i="1"/>
  <c r="M1909" i="1"/>
  <c r="O1908" i="1"/>
  <c r="O1908" i="1" a="1"/>
  <c r="N1908" i="1"/>
  <c r="M1908" i="1"/>
  <c r="O1907" i="1"/>
  <c r="O1907" i="1" a="1"/>
  <c r="N1907" i="1"/>
  <c r="M1907" i="1"/>
  <c r="O1906" i="1"/>
  <c r="O1906" i="1" a="1"/>
  <c r="N1906" i="1"/>
  <c r="M1906" i="1"/>
  <c r="O1905" i="1"/>
  <c r="O1905" i="1" a="1"/>
  <c r="N1905" i="1"/>
  <c r="M1905" i="1"/>
  <c r="O1904" i="1"/>
  <c r="O1904" i="1" a="1"/>
  <c r="N1904" i="1"/>
  <c r="M1904" i="1"/>
  <c r="O1903" i="1"/>
  <c r="O1903" i="1" a="1"/>
  <c r="N1903" i="1"/>
  <c r="M1903" i="1"/>
  <c r="O1902" i="1"/>
  <c r="O1902" i="1" a="1"/>
  <c r="N1902" i="1"/>
  <c r="M1902" i="1"/>
  <c r="O1901" i="1"/>
  <c r="O1901" i="1" a="1"/>
  <c r="N1901" i="1"/>
  <c r="M1901" i="1"/>
  <c r="O1900" i="1"/>
  <c r="O1900" i="1" a="1"/>
  <c r="N1900" i="1"/>
  <c r="M1900" i="1"/>
  <c r="O1899" i="1"/>
  <c r="O1899" i="1" a="1"/>
  <c r="N1899" i="1"/>
  <c r="M1899" i="1"/>
  <c r="O1898" i="1"/>
  <c r="O1898" i="1" a="1"/>
  <c r="N1898" i="1"/>
  <c r="M1898" i="1"/>
  <c r="O1897" i="1"/>
  <c r="O1897" i="1" a="1"/>
  <c r="N1897" i="1"/>
  <c r="M1897" i="1"/>
  <c r="O1896" i="1"/>
  <c r="O1896" i="1" a="1"/>
  <c r="N1896" i="1"/>
  <c r="M1896" i="1"/>
  <c r="O1895" i="1"/>
  <c r="O1895" i="1" a="1"/>
  <c r="N1895" i="1"/>
  <c r="M1895" i="1"/>
  <c r="O1894" i="1"/>
  <c r="O1894" i="1" a="1"/>
  <c r="N1894" i="1"/>
  <c r="M1894" i="1"/>
  <c r="O1893" i="1"/>
  <c r="O1893" i="1" a="1"/>
  <c r="N1893" i="1"/>
  <c r="M1893" i="1"/>
  <c r="O1892" i="1"/>
  <c r="O1892" i="1" a="1"/>
  <c r="N1892" i="1"/>
  <c r="M1892" i="1"/>
  <c r="O1891" i="1"/>
  <c r="O1891" i="1" a="1"/>
  <c r="N1891" i="1"/>
  <c r="M1891" i="1"/>
  <c r="O1890" i="1"/>
  <c r="O1890" i="1" a="1"/>
  <c r="N1890" i="1"/>
  <c r="M1890" i="1"/>
  <c r="O1889" i="1"/>
  <c r="O1889" i="1" a="1"/>
  <c r="N1889" i="1"/>
  <c r="M1889" i="1"/>
  <c r="O1888" i="1"/>
  <c r="O1888" i="1" a="1"/>
  <c r="N1888" i="1"/>
  <c r="M1888" i="1"/>
  <c r="O1887" i="1"/>
  <c r="O1887" i="1" a="1"/>
  <c r="N1887" i="1"/>
  <c r="M1887" i="1"/>
  <c r="O1886" i="1"/>
  <c r="O1886" i="1" a="1"/>
  <c r="N1886" i="1"/>
  <c r="M1886" i="1"/>
  <c r="O1885" i="1"/>
  <c r="O1885" i="1" a="1"/>
  <c r="N1885" i="1"/>
  <c r="M1885" i="1"/>
  <c r="O1884" i="1"/>
  <c r="O1884" i="1" a="1"/>
  <c r="N1884" i="1"/>
  <c r="M1884" i="1"/>
  <c r="O1883" i="1"/>
  <c r="O1883" i="1" a="1"/>
  <c r="N1883" i="1"/>
  <c r="M1883" i="1"/>
  <c r="O1882" i="1"/>
  <c r="O1882" i="1" a="1"/>
  <c r="N1882" i="1"/>
  <c r="M1882" i="1"/>
  <c r="O1881" i="1"/>
  <c r="O1881" i="1" a="1"/>
  <c r="N1881" i="1"/>
  <c r="M1881" i="1"/>
  <c r="O1880" i="1"/>
  <c r="O1880" i="1" a="1"/>
  <c r="N1880" i="1"/>
  <c r="M1880" i="1"/>
  <c r="O1879" i="1"/>
  <c r="O1879" i="1" a="1"/>
  <c r="N1879" i="1"/>
  <c r="M1879" i="1"/>
  <c r="O1878" i="1"/>
  <c r="O1878" i="1" a="1"/>
  <c r="N1878" i="1"/>
  <c r="M1878" i="1"/>
  <c r="O1877" i="1"/>
  <c r="O1877" i="1" a="1"/>
  <c r="N1877" i="1"/>
  <c r="M1877" i="1"/>
  <c r="O1876" i="1"/>
  <c r="O1876" i="1" a="1"/>
  <c r="N1876" i="1"/>
  <c r="M1876" i="1"/>
  <c r="O1875" i="1"/>
  <c r="O1875" i="1" a="1"/>
  <c r="N1875" i="1"/>
  <c r="M1875" i="1"/>
  <c r="O1874" i="1"/>
  <c r="O1874" i="1" a="1"/>
  <c r="N1874" i="1"/>
  <c r="M1874" i="1"/>
  <c r="O1873" i="1"/>
  <c r="O1873" i="1" a="1"/>
  <c r="N1873" i="1"/>
  <c r="M1873" i="1"/>
  <c r="O1872" i="1"/>
  <c r="O1872" i="1" a="1"/>
  <c r="N1872" i="1"/>
  <c r="M1872" i="1"/>
  <c r="O1871" i="1"/>
  <c r="O1871" i="1" a="1"/>
  <c r="N1871" i="1"/>
  <c r="M1871" i="1"/>
  <c r="O1870" i="1"/>
  <c r="O1870" i="1" a="1"/>
  <c r="N1870" i="1"/>
  <c r="M1870" i="1"/>
  <c r="O1869" i="1"/>
  <c r="O1869" i="1" a="1"/>
  <c r="N1869" i="1"/>
  <c r="M1869" i="1"/>
  <c r="O1868" i="1"/>
  <c r="O1868" i="1" a="1"/>
  <c r="N1868" i="1"/>
  <c r="M1868" i="1"/>
  <c r="O1867" i="1"/>
  <c r="O1867" i="1" a="1"/>
  <c r="N1867" i="1"/>
  <c r="M1867" i="1"/>
  <c r="O1866" i="1"/>
  <c r="O1866" i="1" a="1"/>
  <c r="N1866" i="1"/>
  <c r="M1866" i="1"/>
  <c r="O1865" i="1"/>
  <c r="O1865" i="1" a="1"/>
  <c r="N1865" i="1"/>
  <c r="M1865" i="1"/>
  <c r="O1864" i="1"/>
  <c r="O1864" i="1" a="1"/>
  <c r="N1864" i="1"/>
  <c r="M1864" i="1"/>
  <c r="O1863" i="1"/>
  <c r="O1863" i="1" a="1"/>
  <c r="N1863" i="1"/>
  <c r="M1863" i="1"/>
  <c r="O1862" i="1"/>
  <c r="O1862" i="1" a="1"/>
  <c r="N1862" i="1"/>
  <c r="M1862" i="1"/>
  <c r="O1861" i="1"/>
  <c r="O1861" i="1" a="1"/>
  <c r="N1861" i="1"/>
  <c r="M1861" i="1"/>
  <c r="O1860" i="1"/>
  <c r="O1860" i="1" a="1"/>
  <c r="N1860" i="1"/>
  <c r="M1860" i="1"/>
  <c r="O1859" i="1"/>
  <c r="O1859" i="1" a="1"/>
  <c r="N1859" i="1"/>
  <c r="M1859" i="1"/>
  <c r="O1858" i="1"/>
  <c r="O1858" i="1" a="1"/>
  <c r="N1858" i="1"/>
  <c r="M1858" i="1"/>
  <c r="O1857" i="1"/>
  <c r="O1857" i="1" a="1"/>
  <c r="N1857" i="1"/>
  <c r="M1857" i="1"/>
  <c r="O1856" i="1"/>
  <c r="O1856" i="1" a="1"/>
  <c r="N1856" i="1"/>
  <c r="M1856" i="1"/>
  <c r="O1855" i="1"/>
  <c r="O1855" i="1" a="1"/>
  <c r="N1855" i="1"/>
  <c r="M1855" i="1"/>
  <c r="O1854" i="1"/>
  <c r="O1854" i="1" a="1"/>
  <c r="N1854" i="1"/>
  <c r="M1854" i="1"/>
  <c r="O1853" i="1"/>
  <c r="O1853" i="1" a="1"/>
  <c r="N1853" i="1"/>
  <c r="M1853" i="1"/>
  <c r="O1852" i="1"/>
  <c r="O1852" i="1" a="1"/>
  <c r="N1852" i="1"/>
  <c r="M1852" i="1"/>
  <c r="O1851" i="1"/>
  <c r="O1851" i="1" a="1"/>
  <c r="N1851" i="1"/>
  <c r="M1851" i="1"/>
  <c r="O1850" i="1"/>
  <c r="O1850" i="1" a="1"/>
  <c r="N1850" i="1"/>
  <c r="M1850" i="1"/>
  <c r="O1849" i="1"/>
  <c r="O1849" i="1" a="1"/>
  <c r="N1849" i="1"/>
  <c r="M1849" i="1"/>
  <c r="O1848" i="1"/>
  <c r="O1848" i="1" a="1"/>
  <c r="N1848" i="1"/>
  <c r="M1848" i="1"/>
  <c r="O1847" i="1"/>
  <c r="O1847" i="1" a="1"/>
  <c r="N1847" i="1"/>
  <c r="M1847" i="1"/>
  <c r="O1846" i="1"/>
  <c r="O1846" i="1" a="1"/>
  <c r="N1846" i="1"/>
  <c r="M1846" i="1"/>
  <c r="O1845" i="1"/>
  <c r="O1845" i="1" a="1"/>
  <c r="N1845" i="1"/>
  <c r="M1845" i="1"/>
  <c r="O1844" i="1"/>
  <c r="O1844" i="1" a="1"/>
  <c r="N1844" i="1"/>
  <c r="M1844" i="1"/>
  <c r="O1843" i="1"/>
  <c r="O1843" i="1" a="1"/>
  <c r="N1843" i="1"/>
  <c r="M1843" i="1"/>
  <c r="O1842" i="1"/>
  <c r="O1842" i="1" a="1"/>
  <c r="N1842" i="1"/>
  <c r="M1842" i="1"/>
  <c r="O1841" i="1"/>
  <c r="O1841" i="1" a="1"/>
  <c r="N1841" i="1"/>
  <c r="M1841" i="1"/>
  <c r="O1840" i="1"/>
  <c r="O1840" i="1" a="1"/>
  <c r="N1840" i="1"/>
  <c r="M1840" i="1"/>
  <c r="O1839" i="1"/>
  <c r="O1839" i="1" a="1"/>
  <c r="N1839" i="1"/>
  <c r="M1839" i="1"/>
  <c r="O1838" i="1"/>
  <c r="O1838" i="1" a="1"/>
  <c r="N1838" i="1"/>
  <c r="M1838" i="1"/>
  <c r="O1837" i="1"/>
  <c r="O1837" i="1" a="1"/>
  <c r="N1837" i="1"/>
  <c r="M1837" i="1"/>
  <c r="O1836" i="1"/>
  <c r="O1836" i="1" a="1"/>
  <c r="N1836" i="1"/>
  <c r="M1836" i="1"/>
  <c r="O1835" i="1"/>
  <c r="O1835" i="1" a="1"/>
  <c r="N1835" i="1"/>
  <c r="M1835" i="1"/>
  <c r="O1834" i="1"/>
  <c r="O1834" i="1" a="1"/>
  <c r="N1834" i="1"/>
  <c r="M1834" i="1"/>
  <c r="O1833" i="1"/>
  <c r="O1833" i="1" a="1"/>
  <c r="N1833" i="1"/>
  <c r="M1833" i="1"/>
  <c r="O1832" i="1"/>
  <c r="O1832" i="1" a="1"/>
  <c r="N1832" i="1"/>
  <c r="M1832" i="1"/>
  <c r="O1831" i="1"/>
  <c r="O1831" i="1" a="1"/>
  <c r="N1831" i="1"/>
  <c r="M1831" i="1"/>
  <c r="O1830" i="1"/>
  <c r="O1830" i="1" a="1"/>
  <c r="N1830" i="1"/>
  <c r="M1830" i="1"/>
  <c r="O1829" i="1"/>
  <c r="O1829" i="1" a="1"/>
  <c r="N1829" i="1"/>
  <c r="M1829" i="1"/>
  <c r="O1828" i="1"/>
  <c r="O1828" i="1" a="1"/>
  <c r="N1828" i="1"/>
  <c r="M1828" i="1"/>
  <c r="O1827" i="1"/>
  <c r="O1827" i="1" a="1"/>
  <c r="N1827" i="1"/>
  <c r="M1827" i="1"/>
  <c r="O1826" i="1"/>
  <c r="O1826" i="1" a="1"/>
  <c r="N1826" i="1"/>
  <c r="M1826" i="1"/>
  <c r="O1825" i="1"/>
  <c r="O1825" i="1" a="1"/>
  <c r="N1825" i="1"/>
  <c r="M1825" i="1"/>
  <c r="O1824" i="1"/>
  <c r="O1824" i="1" a="1"/>
  <c r="N1824" i="1"/>
  <c r="M1824" i="1"/>
  <c r="O1823" i="1"/>
  <c r="O1823" i="1" a="1"/>
  <c r="N1823" i="1"/>
  <c r="M1823" i="1"/>
  <c r="O1822" i="1"/>
  <c r="O1822" i="1" a="1"/>
  <c r="N1822" i="1"/>
  <c r="M1822" i="1"/>
  <c r="O1821" i="1"/>
  <c r="O1821" i="1" a="1"/>
  <c r="N1821" i="1"/>
  <c r="M1821" i="1"/>
  <c r="O1820" i="1"/>
  <c r="O1820" i="1" a="1"/>
  <c r="N1820" i="1"/>
  <c r="M1820" i="1"/>
  <c r="O1819" i="1"/>
  <c r="O1819" i="1" a="1"/>
  <c r="N1819" i="1"/>
  <c r="M1819" i="1"/>
  <c r="O1818" i="1"/>
  <c r="O1818" i="1" a="1"/>
  <c r="N1818" i="1"/>
  <c r="M1818" i="1"/>
  <c r="O1817" i="1"/>
  <c r="O1817" i="1" a="1"/>
  <c r="N1817" i="1"/>
  <c r="M1817" i="1"/>
  <c r="O1816" i="1"/>
  <c r="O1816" i="1" a="1"/>
  <c r="N1816" i="1"/>
  <c r="M1816" i="1"/>
  <c r="O1815" i="1"/>
  <c r="O1815" i="1" a="1"/>
  <c r="N1815" i="1"/>
  <c r="M1815" i="1"/>
  <c r="O1814" i="1"/>
  <c r="O1814" i="1" a="1"/>
  <c r="N1814" i="1"/>
  <c r="M1814" i="1"/>
  <c r="O1813" i="1"/>
  <c r="O1813" i="1" a="1"/>
  <c r="N1813" i="1"/>
  <c r="M1813" i="1"/>
  <c r="O1812" i="1"/>
  <c r="O1812" i="1" a="1"/>
  <c r="N1812" i="1"/>
  <c r="M1812" i="1"/>
  <c r="O1811" i="1"/>
  <c r="O1811" i="1" a="1"/>
  <c r="N1811" i="1"/>
  <c r="M1811" i="1"/>
  <c r="O1810" i="1"/>
  <c r="O1810" i="1" a="1"/>
  <c r="N1810" i="1"/>
  <c r="M1810" i="1"/>
  <c r="O1809" i="1"/>
  <c r="O1809" i="1" a="1"/>
  <c r="N1809" i="1"/>
  <c r="M1809" i="1"/>
  <c r="O1808" i="1"/>
  <c r="O1808" i="1" a="1"/>
  <c r="N1808" i="1"/>
  <c r="M1808" i="1"/>
  <c r="O1807" i="1"/>
  <c r="O1807" i="1" a="1"/>
  <c r="N1807" i="1"/>
  <c r="M1807" i="1"/>
  <c r="O1806" i="1"/>
  <c r="O1806" i="1" a="1"/>
  <c r="N1806" i="1"/>
  <c r="M1806" i="1"/>
  <c r="O1805" i="1"/>
  <c r="O1805" i="1" a="1"/>
  <c r="N1805" i="1"/>
  <c r="M1805" i="1"/>
  <c r="O1804" i="1"/>
  <c r="O1804" i="1" a="1"/>
  <c r="N1804" i="1"/>
  <c r="M1804" i="1"/>
  <c r="O1803" i="1"/>
  <c r="O1803" i="1" a="1"/>
  <c r="N1803" i="1"/>
  <c r="M1803" i="1"/>
  <c r="O1802" i="1"/>
  <c r="O1802" i="1" a="1"/>
  <c r="N1802" i="1"/>
  <c r="M1802" i="1"/>
  <c r="O1801" i="1"/>
  <c r="O1801" i="1" a="1"/>
  <c r="N1801" i="1"/>
  <c r="M1801" i="1"/>
  <c r="O1800" i="1"/>
  <c r="O1800" i="1" a="1"/>
  <c r="N1800" i="1"/>
  <c r="M1800" i="1"/>
  <c r="O1799" i="1"/>
  <c r="O1799" i="1" a="1"/>
  <c r="N1799" i="1"/>
  <c r="M1799" i="1"/>
  <c r="O1798" i="1"/>
  <c r="O1798" i="1" a="1"/>
  <c r="N1798" i="1"/>
  <c r="M1798" i="1"/>
  <c r="O1797" i="1"/>
  <c r="O1797" i="1" a="1"/>
  <c r="N1797" i="1"/>
  <c r="M1797" i="1"/>
  <c r="O1796" i="1"/>
  <c r="O1796" i="1" a="1"/>
  <c r="N1796" i="1"/>
  <c r="M1796" i="1"/>
  <c r="O1795" i="1"/>
  <c r="O1795" i="1" a="1"/>
  <c r="N1795" i="1"/>
  <c r="M1795" i="1"/>
  <c r="O1794" i="1"/>
  <c r="O1794" i="1" a="1"/>
  <c r="N1794" i="1"/>
  <c r="M1794" i="1"/>
  <c r="O1793" i="1"/>
  <c r="O1793" i="1" a="1"/>
  <c r="N1793" i="1"/>
  <c r="M1793" i="1"/>
  <c r="O1792" i="1"/>
  <c r="O1792" i="1" a="1"/>
  <c r="N1792" i="1"/>
  <c r="M1792" i="1"/>
  <c r="O1791" i="1"/>
  <c r="O1791" i="1" a="1"/>
  <c r="N1791" i="1"/>
  <c r="M1791" i="1"/>
  <c r="O1790" i="1"/>
  <c r="O1790" i="1" a="1"/>
  <c r="N1790" i="1"/>
  <c r="M1790" i="1"/>
  <c r="O1789" i="1"/>
  <c r="O1789" i="1" a="1"/>
  <c r="N1789" i="1"/>
  <c r="M1789" i="1"/>
  <c r="O1788" i="1"/>
  <c r="O1788" i="1" a="1"/>
  <c r="N1788" i="1"/>
  <c r="M1788" i="1"/>
  <c r="O1787" i="1"/>
  <c r="O1787" i="1" a="1"/>
  <c r="N1787" i="1"/>
  <c r="M1787" i="1"/>
  <c r="O1786" i="1"/>
  <c r="O1786" i="1" a="1"/>
  <c r="N1786" i="1"/>
  <c r="M1786" i="1"/>
  <c r="O1785" i="1"/>
  <c r="O1785" i="1" a="1"/>
  <c r="N1785" i="1"/>
  <c r="M1785" i="1"/>
  <c r="O1784" i="1"/>
  <c r="O1784" i="1" a="1"/>
  <c r="N1784" i="1"/>
  <c r="M1784" i="1"/>
  <c r="O1783" i="1"/>
  <c r="O1783" i="1" a="1"/>
  <c r="N1783" i="1"/>
  <c r="M1783" i="1"/>
  <c r="O1782" i="1"/>
  <c r="O1782" i="1" a="1"/>
  <c r="N1782" i="1"/>
  <c r="M1782" i="1"/>
  <c r="O1781" i="1"/>
  <c r="O1781" i="1" a="1"/>
  <c r="N1781" i="1"/>
  <c r="M1781" i="1"/>
  <c r="O1780" i="1"/>
  <c r="O1780" i="1" a="1"/>
  <c r="N1780" i="1"/>
  <c r="M1780" i="1"/>
  <c r="O1779" i="1"/>
  <c r="O1779" i="1" a="1"/>
  <c r="N1779" i="1"/>
  <c r="M1779" i="1"/>
  <c r="O1778" i="1"/>
  <c r="O1778" i="1" a="1"/>
  <c r="N1778" i="1"/>
  <c r="M1778" i="1"/>
  <c r="O1777" i="1"/>
  <c r="O1777" i="1" a="1"/>
  <c r="N1777" i="1"/>
  <c r="M1777" i="1"/>
  <c r="O1776" i="1"/>
  <c r="O1776" i="1" a="1"/>
  <c r="N1776" i="1"/>
  <c r="M1776" i="1"/>
  <c r="O1775" i="1"/>
  <c r="O1775" i="1" a="1"/>
  <c r="N1775" i="1"/>
  <c r="M1775" i="1"/>
  <c r="O1774" i="1"/>
  <c r="O1774" i="1" a="1"/>
  <c r="N1774" i="1"/>
  <c r="M1774" i="1"/>
  <c r="O1773" i="1"/>
  <c r="O1773" i="1" a="1"/>
  <c r="N1773" i="1"/>
  <c r="M1773" i="1"/>
  <c r="O1772" i="1"/>
  <c r="O1772" i="1" a="1"/>
  <c r="N1772" i="1"/>
  <c r="M1772" i="1"/>
  <c r="O1771" i="1"/>
  <c r="O1771" i="1" a="1"/>
  <c r="N1771" i="1"/>
  <c r="M1771" i="1"/>
  <c r="O1770" i="1"/>
  <c r="O1770" i="1" a="1"/>
  <c r="N1770" i="1"/>
  <c r="M1770" i="1"/>
  <c r="O1769" i="1"/>
  <c r="O1769" i="1" a="1"/>
  <c r="N1769" i="1"/>
  <c r="M1769" i="1"/>
  <c r="O1768" i="1"/>
  <c r="O1768" i="1" a="1"/>
  <c r="N1768" i="1"/>
  <c r="M1768" i="1"/>
  <c r="O1767" i="1"/>
  <c r="O1767" i="1" a="1"/>
  <c r="N1767" i="1"/>
  <c r="M1767" i="1"/>
  <c r="O1766" i="1"/>
  <c r="O1766" i="1" a="1"/>
  <c r="N1766" i="1"/>
  <c r="M1766" i="1"/>
  <c r="O1765" i="1"/>
  <c r="O1765" i="1" a="1"/>
  <c r="N1765" i="1"/>
  <c r="M1765" i="1"/>
  <c r="O1764" i="1"/>
  <c r="O1764" i="1" a="1"/>
  <c r="N1764" i="1"/>
  <c r="M1764" i="1"/>
  <c r="O1763" i="1"/>
  <c r="O1763" i="1" a="1"/>
  <c r="N1763" i="1"/>
  <c r="M1763" i="1"/>
  <c r="O1762" i="1"/>
  <c r="O1762" i="1" a="1"/>
  <c r="N1762" i="1"/>
  <c r="M1762" i="1"/>
  <c r="O1761" i="1"/>
  <c r="O1761" i="1" a="1"/>
  <c r="N1761" i="1"/>
  <c r="M1761" i="1"/>
  <c r="O1760" i="1"/>
  <c r="O1760" i="1" a="1"/>
  <c r="N1760" i="1"/>
  <c r="M1760" i="1"/>
  <c r="O1759" i="1"/>
  <c r="O1759" i="1" a="1"/>
  <c r="N1759" i="1"/>
  <c r="M1759" i="1"/>
  <c r="O1758" i="1"/>
  <c r="O1758" i="1" a="1"/>
  <c r="N1758" i="1"/>
  <c r="M1758" i="1"/>
  <c r="O1757" i="1"/>
  <c r="O1757" i="1" a="1"/>
  <c r="N1757" i="1"/>
  <c r="M1757" i="1"/>
  <c r="O1756" i="1"/>
  <c r="O1756" i="1" a="1"/>
  <c r="N1756" i="1"/>
  <c r="M1756" i="1"/>
  <c r="O1755" i="1"/>
  <c r="O1755" i="1" a="1"/>
  <c r="N1755" i="1"/>
  <c r="M1755" i="1"/>
  <c r="O1754" i="1"/>
  <c r="O1754" i="1" a="1"/>
  <c r="N1754" i="1"/>
  <c r="M1754" i="1"/>
  <c r="O1753" i="1"/>
  <c r="O1753" i="1" a="1"/>
  <c r="N1753" i="1"/>
  <c r="M1753" i="1"/>
  <c r="O1752" i="1"/>
  <c r="O1752" i="1" a="1"/>
  <c r="N1752" i="1"/>
  <c r="M1752" i="1"/>
  <c r="O1751" i="1"/>
  <c r="O1751" i="1" a="1"/>
  <c r="N1751" i="1"/>
  <c r="M1751" i="1"/>
  <c r="O1750" i="1"/>
  <c r="O1750" i="1" a="1"/>
  <c r="N1750" i="1"/>
  <c r="M1750" i="1"/>
  <c r="O1749" i="1"/>
  <c r="O1749" i="1" a="1"/>
  <c r="N1749" i="1"/>
  <c r="M1749" i="1"/>
  <c r="O1748" i="1"/>
  <c r="O1748" i="1" a="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c r="O1742" i="1" a="1"/>
  <c r="N1742" i="1"/>
  <c r="M1742" i="1"/>
  <c r="O1741" i="1"/>
  <c r="O1741" i="1" a="1"/>
  <c r="N1741" i="1"/>
  <c r="M1741" i="1"/>
  <c r="O1740" i="1"/>
  <c r="O1740" i="1" a="1"/>
  <c r="N1740" i="1"/>
  <c r="M1740" i="1"/>
  <c r="O1739" i="1"/>
  <c r="O1739" i="1" a="1"/>
  <c r="N1739" i="1"/>
  <c r="M1739" i="1"/>
  <c r="O1738" i="1"/>
  <c r="O1738" i="1" a="1"/>
  <c r="N1738" i="1"/>
  <c r="M1738" i="1"/>
  <c r="O1737" i="1"/>
  <c r="O1737" i="1" a="1"/>
  <c r="N1737" i="1"/>
  <c r="M1737" i="1"/>
  <c r="O1736" i="1"/>
  <c r="O1736" i="1" a="1"/>
  <c r="N1736" i="1"/>
  <c r="M1736" i="1"/>
  <c r="O1735" i="1"/>
  <c r="O1735" i="1" a="1"/>
  <c r="N1735" i="1"/>
  <c r="M1735" i="1"/>
  <c r="O1734" i="1"/>
  <c r="O1734" i="1" a="1"/>
  <c r="N1734" i="1"/>
  <c r="M1734" i="1"/>
  <c r="O1733" i="1"/>
  <c r="O1733" i="1" a="1"/>
  <c r="N1733" i="1"/>
  <c r="M1733" i="1"/>
  <c r="O1732" i="1"/>
  <c r="O1732" i="1" a="1"/>
  <c r="N1732" i="1"/>
  <c r="M1732" i="1"/>
  <c r="O1731" i="1"/>
  <c r="O1731" i="1" a="1"/>
  <c r="N1731" i="1"/>
  <c r="M1731" i="1"/>
  <c r="O1730" i="1"/>
  <c r="O1730" i="1" a="1"/>
  <c r="N1730" i="1"/>
  <c r="M1730" i="1"/>
  <c r="O1729" i="1"/>
  <c r="O1729" i="1" a="1"/>
  <c r="N1729" i="1"/>
  <c r="M1729" i="1"/>
  <c r="O1728" i="1"/>
  <c r="O1728" i="1" a="1"/>
  <c r="N1728" i="1"/>
  <c r="M1728" i="1"/>
  <c r="O1727" i="1"/>
  <c r="O1727" i="1" a="1"/>
  <c r="N1727" i="1"/>
  <c r="M1727" i="1"/>
  <c r="O1726" i="1"/>
  <c r="O1726" i="1" a="1"/>
  <c r="N1726" i="1"/>
  <c r="M1726" i="1"/>
  <c r="O1725" i="1"/>
  <c r="O1725" i="1" a="1"/>
  <c r="N1725" i="1"/>
  <c r="M1725" i="1"/>
  <c r="O1724" i="1"/>
  <c r="O1724" i="1" a="1"/>
  <c r="N1724" i="1"/>
  <c r="M1724" i="1"/>
  <c r="O1723" i="1"/>
  <c r="O1723" i="1" a="1"/>
  <c r="N1723" i="1"/>
  <c r="M1723" i="1"/>
  <c r="O1722" i="1"/>
  <c r="O1722" i="1" a="1"/>
  <c r="N1722" i="1"/>
  <c r="M1722" i="1"/>
  <c r="O1721" i="1"/>
  <c r="O1721" i="1" a="1"/>
  <c r="N1721" i="1"/>
  <c r="M1721" i="1"/>
  <c r="O1720" i="1"/>
  <c r="O1720" i="1" a="1"/>
  <c r="N1720" i="1"/>
  <c r="M1720" i="1"/>
  <c r="O1719" i="1"/>
  <c r="O1719" i="1" a="1"/>
  <c r="N1719" i="1"/>
  <c r="M1719" i="1"/>
  <c r="O1718" i="1"/>
  <c r="O1718" i="1" a="1"/>
  <c r="N1718" i="1"/>
  <c r="M1718" i="1"/>
  <c r="O1717" i="1"/>
  <c r="O1717" i="1" a="1"/>
  <c r="N1717" i="1"/>
  <c r="M1717" i="1"/>
  <c r="O1716" i="1"/>
  <c r="O1716" i="1" a="1"/>
  <c r="N1716" i="1"/>
  <c r="M1716" i="1"/>
  <c r="O1715" i="1"/>
  <c r="O1715" i="1" a="1"/>
  <c r="N1715" i="1"/>
  <c r="M1715" i="1"/>
  <c r="O1714" i="1"/>
  <c r="O1714" i="1" a="1"/>
  <c r="N1714" i="1"/>
  <c r="M1714" i="1"/>
  <c r="O1713" i="1"/>
  <c r="O1713" i="1" a="1"/>
  <c r="N1713" i="1"/>
  <c r="M1713" i="1"/>
  <c r="O1712" i="1"/>
  <c r="O1712" i="1" a="1"/>
  <c r="N1712" i="1"/>
  <c r="M1712" i="1"/>
  <c r="O1711" i="1"/>
  <c r="O1711" i="1" a="1"/>
  <c r="N1711" i="1"/>
  <c r="M1711" i="1"/>
  <c r="O1710" i="1"/>
  <c r="O1710" i="1" a="1"/>
  <c r="N1710" i="1"/>
  <c r="M1710" i="1"/>
  <c r="O1709" i="1"/>
  <c r="O1709" i="1" a="1"/>
  <c r="N1709" i="1"/>
  <c r="M1709" i="1"/>
  <c r="O1708" i="1"/>
  <c r="O1708" i="1" a="1"/>
  <c r="N1708" i="1"/>
  <c r="M1708" i="1"/>
  <c r="O1707" i="1"/>
  <c r="O1707" i="1" a="1"/>
  <c r="N1707" i="1"/>
  <c r="M1707" i="1"/>
  <c r="O1706" i="1"/>
  <c r="O1706" i="1" a="1"/>
  <c r="N1706" i="1"/>
  <c r="M1706" i="1"/>
  <c r="O1705" i="1"/>
  <c r="O1705" i="1" a="1"/>
  <c r="N1705" i="1"/>
  <c r="M1705" i="1"/>
  <c r="O1704" i="1"/>
  <c r="O1704" i="1" a="1"/>
  <c r="N1704" i="1"/>
  <c r="M1704" i="1"/>
  <c r="O1703" i="1"/>
  <c r="O1703" i="1" a="1"/>
  <c r="N1703" i="1"/>
  <c r="M1703" i="1"/>
  <c r="O1702" i="1"/>
  <c r="O1702" i="1" a="1"/>
  <c r="N1702" i="1"/>
  <c r="M1702" i="1"/>
  <c r="O1701" i="1"/>
  <c r="O1701" i="1" a="1"/>
  <c r="N1701" i="1"/>
  <c r="M1701" i="1"/>
  <c r="O1700" i="1"/>
  <c r="O1700" i="1" a="1"/>
  <c r="N1700" i="1"/>
  <c r="M1700" i="1"/>
  <c r="O1699" i="1"/>
  <c r="O1699" i="1" a="1"/>
  <c r="N1699" i="1"/>
  <c r="M1699" i="1"/>
  <c r="O1698" i="1"/>
  <c r="O1698" i="1" a="1"/>
  <c r="N1698" i="1"/>
  <c r="M1698" i="1"/>
  <c r="O1697" i="1"/>
  <c r="O1697" i="1" a="1"/>
  <c r="N1697" i="1"/>
  <c r="M1697" i="1"/>
  <c r="O1696" i="1"/>
  <c r="O1696" i="1" a="1"/>
  <c r="N1696" i="1"/>
  <c r="M1696" i="1"/>
  <c r="O1695" i="1"/>
  <c r="O1695" i="1" a="1"/>
  <c r="N1695" i="1"/>
  <c r="M1695" i="1"/>
  <c r="O1694" i="1"/>
  <c r="O1694" i="1" a="1"/>
  <c r="N1694" i="1"/>
  <c r="M1694" i="1"/>
  <c r="O1693" i="1"/>
  <c r="O1693" i="1" a="1"/>
  <c r="N1693" i="1"/>
  <c r="M1693" i="1"/>
  <c r="O1692" i="1"/>
  <c r="O1692" i="1" a="1"/>
  <c r="N1692" i="1"/>
  <c r="M1692" i="1"/>
  <c r="O1691" i="1"/>
  <c r="O1691" i="1" a="1"/>
  <c r="N1691" i="1"/>
  <c r="M1691" i="1"/>
  <c r="O1690" i="1"/>
  <c r="O1690" i="1" a="1"/>
  <c r="N1690" i="1"/>
  <c r="M1690" i="1"/>
  <c r="O1689" i="1"/>
  <c r="O1689" i="1" a="1"/>
  <c r="N1689" i="1"/>
  <c r="M1689" i="1"/>
  <c r="O1688" i="1"/>
  <c r="O1688" i="1" a="1"/>
  <c r="N1688" i="1"/>
  <c r="M1688" i="1"/>
  <c r="O1687" i="1"/>
  <c r="O1687" i="1" a="1"/>
  <c r="N1687" i="1"/>
  <c r="M1687" i="1"/>
  <c r="O1686" i="1"/>
  <c r="O1686" i="1" a="1"/>
  <c r="N1686" i="1"/>
  <c r="M1686" i="1"/>
  <c r="O1685" i="1"/>
  <c r="O1685" i="1" a="1"/>
  <c r="N1685" i="1"/>
  <c r="M1685" i="1"/>
  <c r="O1684" i="1"/>
  <c r="O1684" i="1" a="1"/>
  <c r="N1684" i="1"/>
  <c r="M1684" i="1"/>
  <c r="O1683" i="1"/>
  <c r="O1683" i="1" a="1"/>
  <c r="N1683" i="1"/>
  <c r="M1683" i="1"/>
  <c r="O1682" i="1"/>
  <c r="O1682" i="1" a="1"/>
  <c r="N1682" i="1"/>
  <c r="M1682" i="1"/>
  <c r="O1681" i="1"/>
  <c r="O1681" i="1" a="1"/>
  <c r="N1681" i="1"/>
  <c r="M1681" i="1"/>
  <c r="O1680" i="1"/>
  <c r="O1680" i="1" a="1"/>
  <c r="N1680" i="1"/>
  <c r="M1680" i="1"/>
  <c r="O1679" i="1"/>
  <c r="O1679" i="1" a="1"/>
  <c r="N1679" i="1"/>
  <c r="M1679" i="1"/>
  <c r="O1678" i="1"/>
  <c r="O1678" i="1" a="1"/>
  <c r="N1678" i="1"/>
  <c r="M1678" i="1"/>
  <c r="O1677" i="1"/>
  <c r="O1677" i="1" a="1"/>
  <c r="N1677" i="1"/>
  <c r="M1677" i="1"/>
  <c r="O1676" i="1"/>
  <c r="O1676" i="1" a="1"/>
  <c r="N1676" i="1"/>
  <c r="M1676" i="1"/>
  <c r="O1675" i="1"/>
  <c r="O1675" i="1" a="1"/>
  <c r="N1675" i="1"/>
  <c r="M1675" i="1"/>
  <c r="O1674" i="1"/>
  <c r="O1674" i="1" a="1"/>
  <c r="N1674" i="1"/>
  <c r="M1674" i="1"/>
  <c r="O1673" i="1"/>
  <c r="O1673" i="1" a="1"/>
  <c r="N1673" i="1"/>
  <c r="M1673" i="1"/>
  <c r="O1672" i="1"/>
  <c r="O1672" i="1" a="1"/>
  <c r="N1672" i="1"/>
  <c r="M1672" i="1"/>
  <c r="O1671" i="1"/>
  <c r="O1671" i="1" a="1"/>
  <c r="N1671" i="1"/>
  <c r="M1671" i="1"/>
  <c r="O1670" i="1"/>
  <c r="O1670" i="1" a="1"/>
  <c r="N1670" i="1"/>
  <c r="M1670" i="1"/>
  <c r="O1669" i="1"/>
  <c r="O1669" i="1" a="1"/>
  <c r="N1669" i="1"/>
  <c r="M1669" i="1"/>
  <c r="O1668" i="1"/>
  <c r="O1668" i="1" a="1"/>
  <c r="N1668" i="1"/>
  <c r="M1668" i="1"/>
  <c r="O1667" i="1"/>
  <c r="O1667" i="1" a="1"/>
  <c r="N1667" i="1"/>
  <c r="M1667" i="1"/>
  <c r="O1666" i="1"/>
  <c r="O1666" i="1" a="1"/>
  <c r="N1666" i="1"/>
  <c r="M1666" i="1"/>
  <c r="O1665" i="1"/>
  <c r="O1665" i="1" a="1"/>
  <c r="N1665" i="1"/>
  <c r="M1665" i="1"/>
  <c r="O1664" i="1"/>
  <c r="O1664" i="1" a="1"/>
  <c r="N1664" i="1"/>
  <c r="M1664" i="1"/>
  <c r="O1663" i="1"/>
  <c r="O1663" i="1" a="1"/>
  <c r="N1663" i="1"/>
  <c r="M1663" i="1"/>
  <c r="O1662" i="1"/>
  <c r="O1662" i="1" a="1"/>
  <c r="N1662" i="1"/>
  <c r="M1662" i="1"/>
  <c r="O1661" i="1"/>
  <c r="O1661" i="1" a="1"/>
  <c r="N1661" i="1"/>
  <c r="M1661" i="1"/>
  <c r="O1660" i="1"/>
  <c r="O1660" i="1" a="1"/>
  <c r="N1660" i="1"/>
  <c r="M1660" i="1"/>
  <c r="O1659" i="1"/>
  <c r="O1659" i="1" a="1"/>
  <c r="N1659" i="1"/>
  <c r="M1659" i="1"/>
  <c r="O1658" i="1"/>
  <c r="O1658" i="1" a="1"/>
  <c r="N1658" i="1"/>
  <c r="M1658" i="1"/>
  <c r="O1657" i="1"/>
  <c r="O1657" i="1" a="1"/>
  <c r="N1657" i="1"/>
  <c r="M1657" i="1"/>
  <c r="O1656" i="1"/>
  <c r="O1656" i="1" a="1"/>
  <c r="N1656" i="1"/>
  <c r="M1656" i="1"/>
  <c r="O1655" i="1"/>
  <c r="O1655" i="1" a="1"/>
  <c r="N1655" i="1"/>
  <c r="M1655" i="1"/>
  <c r="O1654" i="1"/>
  <c r="O1654" i="1" a="1"/>
  <c r="N1654" i="1"/>
  <c r="M1654" i="1"/>
  <c r="O1653" i="1"/>
  <c r="O1653" i="1" a="1"/>
  <c r="N1653" i="1"/>
  <c r="M1653" i="1"/>
  <c r="O1652" i="1"/>
  <c r="O1652" i="1" a="1"/>
  <c r="N1652" i="1"/>
  <c r="M1652" i="1"/>
  <c r="O1651" i="1"/>
  <c r="O1651" i="1" a="1"/>
  <c r="N1651" i="1"/>
  <c r="M1651" i="1"/>
  <c r="O1650" i="1"/>
  <c r="O1650" i="1" a="1"/>
  <c r="N1650" i="1"/>
  <c r="M1650" i="1"/>
  <c r="O1649" i="1"/>
  <c r="O1649" i="1" a="1"/>
  <c r="N1649" i="1"/>
  <c r="M1649" i="1"/>
  <c r="O1648" i="1"/>
  <c r="O1648" i="1" a="1"/>
  <c r="N1648" i="1"/>
  <c r="M1648" i="1"/>
  <c r="O1647" i="1"/>
  <c r="O1647" i="1" a="1"/>
  <c r="N1647" i="1"/>
  <c r="M1647" i="1"/>
  <c r="O1646" i="1"/>
  <c r="O1646" i="1" a="1"/>
  <c r="N1646" i="1"/>
  <c r="M1646" i="1"/>
  <c r="O1645" i="1"/>
  <c r="O1645" i="1" a="1"/>
  <c r="N1645" i="1"/>
  <c r="M1645" i="1"/>
  <c r="O1644" i="1"/>
  <c r="O1644" i="1" a="1"/>
  <c r="N1644" i="1"/>
  <c r="M1644" i="1"/>
  <c r="O1643" i="1"/>
  <c r="O1643" i="1" a="1"/>
  <c r="N1643" i="1"/>
  <c r="M1643" i="1"/>
  <c r="O1642" i="1"/>
  <c r="O1642" i="1" a="1"/>
  <c r="N1642" i="1"/>
  <c r="M1642" i="1"/>
  <c r="O1641" i="1"/>
  <c r="O1641" i="1" a="1"/>
  <c r="N1641" i="1"/>
  <c r="M1641" i="1"/>
  <c r="O1640" i="1"/>
  <c r="O1640" i="1" a="1"/>
  <c r="N1640" i="1"/>
  <c r="M1640" i="1"/>
  <c r="O1639" i="1"/>
  <c r="O1639" i="1" a="1"/>
  <c r="N1639" i="1"/>
  <c r="M1639" i="1"/>
  <c r="O1638" i="1"/>
  <c r="O1638" i="1" a="1"/>
  <c r="N1638" i="1"/>
  <c r="M1638" i="1"/>
  <c r="O1637" i="1"/>
  <c r="O1637" i="1" a="1"/>
  <c r="N1637" i="1"/>
  <c r="M1637" i="1"/>
  <c r="O1636" i="1"/>
  <c r="O1636" i="1" a="1"/>
  <c r="N1636" i="1"/>
  <c r="M1636" i="1"/>
  <c r="O1635" i="1"/>
  <c r="O1635" i="1" a="1"/>
  <c r="N1635" i="1"/>
  <c r="M1635" i="1"/>
  <c r="O1634" i="1"/>
  <c r="O1634" i="1" a="1"/>
  <c r="N1634" i="1"/>
  <c r="M1634" i="1"/>
  <c r="O1633" i="1"/>
  <c r="O1633" i="1" a="1"/>
  <c r="N1633" i="1"/>
  <c r="M1633" i="1"/>
  <c r="O1632" i="1"/>
  <c r="O1632" i="1" a="1"/>
  <c r="N1632" i="1"/>
  <c r="M1632" i="1"/>
  <c r="O1631" i="1"/>
  <c r="O1631" i="1" a="1"/>
  <c r="N1631" i="1"/>
  <c r="M1631" i="1"/>
  <c r="O1630" i="1"/>
  <c r="O1630" i="1" a="1"/>
  <c r="N1630" i="1"/>
  <c r="M1630" i="1"/>
  <c r="O1629" i="1"/>
  <c r="O1629" i="1" a="1"/>
  <c r="N1629" i="1"/>
  <c r="M1629" i="1"/>
  <c r="O1628" i="1"/>
  <c r="O1628" i="1" a="1"/>
  <c r="N1628" i="1"/>
  <c r="M1628" i="1"/>
  <c r="O1627" i="1"/>
  <c r="O1627" i="1" a="1"/>
  <c r="N1627" i="1"/>
  <c r="M1627" i="1"/>
  <c r="O1626" i="1"/>
  <c r="O1626" i="1" a="1"/>
  <c r="N1626" i="1"/>
  <c r="M1626" i="1"/>
  <c r="O1625" i="1"/>
  <c r="O1625" i="1" a="1"/>
  <c r="N1625" i="1"/>
  <c r="M1625" i="1"/>
  <c r="O1624" i="1"/>
  <c r="O1624" i="1" a="1"/>
  <c r="N1624" i="1"/>
  <c r="M1624" i="1"/>
  <c r="O1623" i="1"/>
  <c r="O1623" i="1" a="1"/>
  <c r="N1623" i="1"/>
  <c r="M1623" i="1"/>
  <c r="O1622" i="1"/>
  <c r="O1622" i="1" a="1"/>
  <c r="N1622" i="1"/>
  <c r="M1622" i="1"/>
  <c r="O1621" i="1"/>
  <c r="O1621" i="1" a="1"/>
  <c r="N1621" i="1"/>
  <c r="M1621" i="1"/>
  <c r="O1620" i="1"/>
  <c r="O1620" i="1" a="1"/>
  <c r="N1620" i="1"/>
  <c r="M1620" i="1"/>
  <c r="O1619" i="1"/>
  <c r="O1619" i="1" a="1"/>
  <c r="N1619" i="1"/>
  <c r="M1619" i="1"/>
  <c r="O1618" i="1"/>
  <c r="O1618" i="1" a="1"/>
  <c r="N1618" i="1"/>
  <c r="M1618" i="1"/>
  <c r="O1617" i="1"/>
  <c r="O1617" i="1" a="1"/>
  <c r="N1617" i="1"/>
  <c r="M1617" i="1"/>
  <c r="O1616" i="1"/>
  <c r="O1616" i="1" a="1"/>
  <c r="N1616" i="1"/>
  <c r="M1616" i="1"/>
  <c r="O1615" i="1"/>
  <c r="O1615" i="1" a="1"/>
  <c r="N1615" i="1"/>
  <c r="M1615" i="1"/>
  <c r="O1614" i="1"/>
  <c r="O1614" i="1" a="1"/>
  <c r="N1614" i="1"/>
  <c r="M1614" i="1"/>
  <c r="O1613" i="1"/>
  <c r="O1613" i="1" a="1"/>
  <c r="N1613" i="1"/>
  <c r="M1613" i="1"/>
  <c r="O1612" i="1"/>
  <c r="O1612" i="1" a="1"/>
  <c r="N1612" i="1"/>
  <c r="M1612" i="1"/>
  <c r="O1611" i="1"/>
  <c r="O1611" i="1" a="1"/>
  <c r="N1611" i="1"/>
  <c r="M1611" i="1"/>
  <c r="O1610" i="1"/>
  <c r="O1610" i="1" a="1"/>
  <c r="N1610" i="1"/>
  <c r="M1610" i="1"/>
  <c r="O1609" i="1"/>
  <c r="O1609" i="1" a="1"/>
  <c r="N1609" i="1"/>
  <c r="M1609" i="1"/>
  <c r="O1608" i="1"/>
  <c r="O1608" i="1" a="1"/>
  <c r="N1608" i="1"/>
  <c r="M1608" i="1"/>
  <c r="O1607" i="1"/>
  <c r="O1607" i="1" a="1"/>
  <c r="N1607" i="1"/>
  <c r="M1607" i="1"/>
  <c r="O1606" i="1"/>
  <c r="O1606" i="1" a="1"/>
  <c r="N1606" i="1"/>
  <c r="M1606" i="1"/>
  <c r="O1605" i="1"/>
  <c r="O1605" i="1" a="1"/>
  <c r="N1605" i="1"/>
  <c r="M1605" i="1"/>
  <c r="O1604" i="1"/>
  <c r="O1604" i="1" a="1"/>
  <c r="N1604" i="1"/>
  <c r="M1604" i="1"/>
  <c r="O1603" i="1"/>
  <c r="O1603" i="1" a="1"/>
  <c r="N1603" i="1"/>
  <c r="M1603" i="1"/>
  <c r="O1602" i="1"/>
  <c r="O1602" i="1" a="1"/>
  <c r="N1602" i="1"/>
  <c r="M1602" i="1"/>
  <c r="O1601" i="1"/>
  <c r="O1601" i="1" a="1"/>
  <c r="N1601" i="1"/>
  <c r="M1601" i="1"/>
  <c r="O1600" i="1"/>
  <c r="O1600" i="1" a="1"/>
  <c r="N1600" i="1"/>
  <c r="M1600" i="1"/>
  <c r="O1599" i="1"/>
  <c r="O1599" i="1" a="1"/>
  <c r="N1599" i="1"/>
  <c r="M1599" i="1"/>
  <c r="O1598" i="1"/>
  <c r="O1598" i="1" a="1"/>
  <c r="N1598" i="1"/>
  <c r="M1598" i="1"/>
  <c r="O1597" i="1"/>
  <c r="O1597" i="1" a="1"/>
  <c r="N1597" i="1"/>
  <c r="M1597" i="1"/>
  <c r="O1596" i="1"/>
  <c r="O1596" i="1" a="1"/>
  <c r="N1596" i="1"/>
  <c r="M1596" i="1"/>
  <c r="O1595" i="1"/>
  <c r="O1595" i="1" a="1"/>
  <c r="N1595" i="1"/>
  <c r="M1595" i="1"/>
  <c r="O1594" i="1"/>
  <c r="O1594" i="1" a="1"/>
  <c r="N1594" i="1"/>
  <c r="M1594" i="1"/>
  <c r="O1593" i="1"/>
  <c r="O1593" i="1" a="1"/>
  <c r="N1593" i="1"/>
  <c r="M1593" i="1"/>
  <c r="O1592" i="1"/>
  <c r="O1592" i="1" a="1"/>
  <c r="N1592" i="1"/>
  <c r="M1592" i="1"/>
  <c r="O1591" i="1"/>
  <c r="O1591" i="1" a="1"/>
  <c r="N1591" i="1"/>
  <c r="M1591" i="1"/>
  <c r="O1590" i="1"/>
  <c r="O1590" i="1" a="1"/>
  <c r="N1590" i="1"/>
  <c r="M1590" i="1"/>
  <c r="O1589" i="1"/>
  <c r="O1589" i="1" a="1"/>
  <c r="N1589" i="1"/>
  <c r="M1589" i="1"/>
  <c r="O1588" i="1"/>
  <c r="O1588" i="1" a="1"/>
  <c r="N1588" i="1"/>
  <c r="M1588" i="1"/>
  <c r="O1587" i="1"/>
  <c r="O1587" i="1" a="1"/>
  <c r="N1587" i="1"/>
  <c r="M1587" i="1"/>
  <c r="O1586" i="1"/>
  <c r="O1586" i="1" a="1"/>
  <c r="N1586" i="1"/>
  <c r="M1586" i="1"/>
  <c r="O1585" i="1"/>
  <c r="O1585" i="1" a="1"/>
  <c r="N1585" i="1"/>
  <c r="M1585" i="1"/>
  <c r="O1584" i="1"/>
  <c r="O1584" i="1" a="1"/>
  <c r="N1584" i="1"/>
  <c r="M1584" i="1"/>
  <c r="O1583" i="1"/>
  <c r="O1583" i="1" a="1"/>
  <c r="N1583" i="1"/>
  <c r="M1583" i="1"/>
  <c r="O1582" i="1"/>
  <c r="O1582" i="1" a="1"/>
  <c r="N1582" i="1"/>
  <c r="M1582" i="1"/>
  <c r="O1581" i="1"/>
  <c r="O1581" i="1" a="1"/>
  <c r="N1581" i="1"/>
  <c r="M1581" i="1"/>
  <c r="O1580" i="1"/>
  <c r="O1580" i="1" a="1"/>
  <c r="N1580" i="1"/>
  <c r="M1580" i="1"/>
  <c r="O1579" i="1"/>
  <c r="O1579" i="1" a="1"/>
  <c r="N1579" i="1"/>
  <c r="M1579" i="1"/>
  <c r="O1578" i="1"/>
  <c r="O1578" i="1" a="1"/>
  <c r="N1578" i="1"/>
  <c r="M1578" i="1"/>
  <c r="O1577" i="1"/>
  <c r="O1577" i="1" a="1"/>
  <c r="N1577" i="1"/>
  <c r="M1577" i="1"/>
  <c r="O1576" i="1"/>
  <c r="O1576" i="1" a="1"/>
  <c r="N1576" i="1"/>
  <c r="M1576" i="1"/>
  <c r="O1575" i="1"/>
  <c r="O1575" i="1" a="1"/>
  <c r="N1575" i="1"/>
  <c r="M1575" i="1"/>
  <c r="O1574" i="1"/>
  <c r="O1574" i="1" a="1"/>
  <c r="N1574" i="1"/>
  <c r="M1574" i="1"/>
  <c r="O1573" i="1"/>
  <c r="O1573" i="1" a="1"/>
  <c r="N1573" i="1"/>
  <c r="M1573" i="1"/>
  <c r="O1572" i="1"/>
  <c r="O1572" i="1" a="1"/>
  <c r="N1572" i="1"/>
  <c r="M1572" i="1"/>
  <c r="O1571" i="1"/>
  <c r="O1571" i="1" a="1"/>
  <c r="N1571" i="1"/>
  <c r="M1571" i="1"/>
  <c r="O1570" i="1"/>
  <c r="O1570" i="1" a="1"/>
  <c r="N1570" i="1"/>
  <c r="M1570" i="1"/>
  <c r="O1569" i="1"/>
  <c r="O1569" i="1" a="1"/>
  <c r="N1569" i="1"/>
  <c r="M1569" i="1"/>
  <c r="O1568" i="1"/>
  <c r="O1568" i="1" a="1"/>
  <c r="N1568" i="1"/>
  <c r="M1568" i="1"/>
  <c r="O1567" i="1"/>
  <c r="O1567" i="1" a="1"/>
  <c r="N1567" i="1"/>
  <c r="M1567" i="1"/>
  <c r="O1566" i="1"/>
  <c r="O1566" i="1" a="1"/>
  <c r="N1566" i="1"/>
  <c r="M1566" i="1"/>
  <c r="O1565" i="1"/>
  <c r="O1565" i="1" a="1"/>
  <c r="N1565" i="1"/>
  <c r="M1565" i="1"/>
  <c r="O1564" i="1"/>
  <c r="O1564" i="1" a="1"/>
  <c r="N1564" i="1"/>
  <c r="M1564" i="1"/>
  <c r="O1563" i="1"/>
  <c r="O1563" i="1" a="1"/>
  <c r="N1563" i="1"/>
  <c r="M1563" i="1"/>
  <c r="O1562" i="1"/>
  <c r="O1562" i="1" a="1"/>
  <c r="N1562" i="1"/>
  <c r="M1562" i="1"/>
  <c r="O1561" i="1"/>
  <c r="O1561" i="1" a="1"/>
  <c r="N1561" i="1"/>
  <c r="M1561" i="1"/>
  <c r="O1560" i="1"/>
  <c r="O1560" i="1" a="1"/>
  <c r="N1560" i="1"/>
  <c r="M1560" i="1"/>
  <c r="O1559" i="1"/>
  <c r="O1559" i="1" a="1"/>
  <c r="N1559" i="1"/>
  <c r="M1559" i="1"/>
  <c r="O1558" i="1"/>
  <c r="O1558" i="1" a="1"/>
  <c r="N1558" i="1"/>
  <c r="M1558" i="1"/>
  <c r="O1557" i="1"/>
  <c r="O1557" i="1" a="1"/>
  <c r="N1557" i="1"/>
  <c r="M1557" i="1"/>
  <c r="O1556" i="1"/>
  <c r="O1556" i="1" a="1"/>
  <c r="N1556" i="1"/>
  <c r="M1556" i="1"/>
  <c r="O1555" i="1"/>
  <c r="O1555" i="1" a="1"/>
  <c r="N1555" i="1"/>
  <c r="M1555" i="1"/>
  <c r="O1554" i="1"/>
  <c r="O1554" i="1" a="1"/>
  <c r="N1554" i="1"/>
  <c r="M1554" i="1"/>
  <c r="O1553" i="1"/>
  <c r="O1553" i="1" a="1"/>
  <c r="N1553" i="1"/>
  <c r="M1553" i="1"/>
  <c r="O1552" i="1"/>
  <c r="O1552" i="1" a="1"/>
  <c r="N1552" i="1"/>
  <c r="M1552" i="1"/>
  <c r="O1551" i="1"/>
  <c r="O1551" i="1" a="1"/>
  <c r="N1551" i="1"/>
  <c r="M1551" i="1"/>
  <c r="O1550" i="1"/>
  <c r="O1550" i="1" a="1"/>
  <c r="N1550" i="1"/>
  <c r="M1550" i="1"/>
  <c r="O1549" i="1"/>
  <c r="O1549" i="1" a="1"/>
  <c r="N1549" i="1"/>
  <c r="M1549" i="1"/>
  <c r="O1548" i="1"/>
  <c r="O1548" i="1" a="1"/>
  <c r="N1548" i="1"/>
  <c r="M1548" i="1"/>
  <c r="O1547" i="1"/>
  <c r="O1547" i="1" a="1"/>
  <c r="N1547" i="1"/>
  <c r="M1547" i="1"/>
  <c r="O1546" i="1"/>
  <c r="O1546" i="1" a="1"/>
  <c r="N1546" i="1"/>
  <c r="M1546" i="1"/>
  <c r="O1545" i="1"/>
  <c r="O1545" i="1" a="1"/>
  <c r="N1545" i="1"/>
  <c r="M1545" i="1"/>
  <c r="O1544" i="1"/>
  <c r="O1544" i="1" a="1"/>
  <c r="N1544" i="1"/>
  <c r="M1544" i="1"/>
  <c r="O1543" i="1"/>
  <c r="O1543" i="1" a="1"/>
  <c r="N1543" i="1"/>
  <c r="M1543" i="1"/>
  <c r="O1542" i="1"/>
  <c r="O1542" i="1" a="1"/>
  <c r="N1542" i="1"/>
  <c r="M1542" i="1"/>
  <c r="O1541" i="1"/>
  <c r="O1541" i="1" a="1"/>
  <c r="N1541" i="1"/>
  <c r="M1541" i="1"/>
  <c r="O1540" i="1"/>
  <c r="O1540" i="1" a="1"/>
  <c r="N1540" i="1"/>
  <c r="M1540" i="1"/>
  <c r="O1539" i="1"/>
  <c r="O1539" i="1" a="1"/>
  <c r="N1539" i="1"/>
  <c r="M1539" i="1"/>
  <c r="O1538" i="1"/>
  <c r="O1538" i="1" a="1"/>
  <c r="N1538" i="1"/>
  <c r="M1538" i="1"/>
  <c r="O1537" i="1"/>
  <c r="O1537" i="1" a="1"/>
  <c r="N1537" i="1"/>
  <c r="M1537" i="1"/>
  <c r="O1536" i="1"/>
  <c r="O1536" i="1" a="1"/>
  <c r="N1536" i="1"/>
  <c r="M1536" i="1"/>
  <c r="O1535" i="1"/>
  <c r="O1535" i="1" a="1"/>
  <c r="N1535" i="1"/>
  <c r="M1535" i="1"/>
  <c r="O1534" i="1"/>
  <c r="O1534" i="1" a="1"/>
  <c r="N1534" i="1"/>
  <c r="M1534" i="1"/>
  <c r="O1533" i="1"/>
  <c r="O1533" i="1" a="1"/>
  <c r="N1533" i="1"/>
  <c r="M1533" i="1"/>
  <c r="O1532" i="1"/>
  <c r="O1532" i="1" a="1"/>
  <c r="N1532" i="1"/>
  <c r="M1532" i="1"/>
  <c r="O1531" i="1"/>
  <c r="O1531" i="1" a="1"/>
  <c r="N1531" i="1"/>
  <c r="M1531" i="1"/>
  <c r="O1530" i="1"/>
  <c r="O1530" i="1" a="1"/>
  <c r="N1530" i="1"/>
  <c r="M1530" i="1"/>
  <c r="O1529" i="1"/>
  <c r="O1529" i="1" a="1"/>
  <c r="N1529" i="1"/>
  <c r="M1529" i="1"/>
  <c r="O1528" i="1"/>
  <c r="O1528" i="1" a="1"/>
  <c r="N1528" i="1"/>
  <c r="M1528" i="1"/>
  <c r="O1527" i="1"/>
  <c r="O1527" i="1" a="1"/>
  <c r="N1527" i="1"/>
  <c r="M1527" i="1"/>
  <c r="O1526" i="1"/>
  <c r="O1526" i="1" a="1"/>
  <c r="N1526" i="1"/>
  <c r="M1526" i="1"/>
  <c r="O1525" i="1"/>
  <c r="O1525" i="1" a="1"/>
  <c r="N1525" i="1"/>
  <c r="M1525" i="1"/>
  <c r="O1524" i="1"/>
  <c r="O1524" i="1" a="1"/>
  <c r="N1524" i="1"/>
  <c r="M1524" i="1"/>
  <c r="O1523" i="1"/>
  <c r="O1523" i="1" a="1"/>
  <c r="N1523" i="1"/>
  <c r="M1523" i="1"/>
  <c r="O1522" i="1"/>
  <c r="O1522" i="1" a="1"/>
  <c r="N1522" i="1"/>
  <c r="M1522" i="1"/>
  <c r="O1521" i="1"/>
  <c r="O1521" i="1" a="1"/>
  <c r="N1521" i="1"/>
  <c r="M1521" i="1"/>
  <c r="O1520" i="1"/>
  <c r="O1520" i="1" a="1"/>
  <c r="N1520" i="1"/>
  <c r="M1520" i="1"/>
  <c r="O1519" i="1"/>
  <c r="O1519" i="1" a="1"/>
  <c r="N1519" i="1"/>
  <c r="M1519" i="1"/>
  <c r="O1518" i="1"/>
  <c r="O1518" i="1" a="1"/>
  <c r="N1518" i="1"/>
  <c r="M1518" i="1"/>
  <c r="O1517" i="1"/>
  <c r="O1517" i="1" a="1"/>
  <c r="N1517" i="1"/>
  <c r="M1517" i="1"/>
  <c r="O1516" i="1"/>
  <c r="O1516" i="1" a="1"/>
  <c r="N1516" i="1"/>
  <c r="M1516" i="1"/>
  <c r="O1515" i="1"/>
  <c r="O1515" i="1" a="1"/>
  <c r="N1515" i="1"/>
  <c r="M1515" i="1"/>
  <c r="O1514" i="1"/>
  <c r="O1514" i="1" a="1"/>
  <c r="N1514" i="1"/>
  <c r="M1514" i="1"/>
  <c r="O1513" i="1"/>
  <c r="O1513" i="1" a="1"/>
  <c r="N1513" i="1"/>
  <c r="M1513" i="1"/>
  <c r="O1512" i="1"/>
  <c r="O1512" i="1" a="1"/>
  <c r="N1512" i="1"/>
  <c r="M1512" i="1"/>
  <c r="O1511" i="1"/>
  <c r="O1511" i="1" a="1"/>
  <c r="N1511" i="1"/>
  <c r="M1511" i="1"/>
  <c r="O1510" i="1"/>
  <c r="O1510" i="1" a="1"/>
  <c r="N1510" i="1"/>
  <c r="M1510" i="1"/>
  <c r="O1509" i="1"/>
  <c r="O1509" i="1" a="1"/>
  <c r="N1509" i="1"/>
  <c r="M1509" i="1"/>
  <c r="O1508" i="1"/>
  <c r="O1508" i="1" a="1"/>
  <c r="N1508" i="1"/>
  <c r="M1508" i="1"/>
  <c r="O1507" i="1"/>
  <c r="O1507" i="1" a="1"/>
  <c r="N1507" i="1"/>
  <c r="M1507" i="1"/>
  <c r="O1506" i="1"/>
  <c r="O1506" i="1" a="1"/>
  <c r="N1506" i="1"/>
  <c r="M1506" i="1"/>
  <c r="O1505" i="1"/>
  <c r="O1505" i="1" a="1"/>
  <c r="N1505" i="1"/>
  <c r="M1505" i="1"/>
  <c r="O1504" i="1"/>
  <c r="O1504" i="1" a="1"/>
  <c r="N1504" i="1"/>
  <c r="M1504" i="1"/>
  <c r="O1503" i="1"/>
  <c r="O1503" i="1" a="1"/>
  <c r="N1503" i="1"/>
  <c r="M1503" i="1"/>
  <c r="O1502" i="1"/>
  <c r="O1502" i="1" a="1"/>
  <c r="N1502" i="1"/>
  <c r="M1502" i="1"/>
  <c r="O1501" i="1"/>
  <c r="O1501" i="1" a="1"/>
  <c r="N1501" i="1"/>
  <c r="M1501" i="1"/>
  <c r="O1500" i="1"/>
  <c r="O1500" i="1" a="1"/>
  <c r="N1500" i="1"/>
  <c r="M1500" i="1"/>
  <c r="O1499" i="1"/>
  <c r="O1499" i="1" a="1"/>
  <c r="N1499" i="1"/>
  <c r="M1499" i="1"/>
  <c r="O1498" i="1"/>
  <c r="O1498" i="1" a="1"/>
  <c r="N1498" i="1"/>
  <c r="M1498" i="1"/>
  <c r="O1497" i="1"/>
  <c r="O1497" i="1" a="1"/>
  <c r="N1497" i="1"/>
  <c r="M1497" i="1"/>
  <c r="O1496" i="1"/>
  <c r="O1496" i="1" a="1"/>
  <c r="N1496" i="1"/>
  <c r="M1496" i="1"/>
  <c r="O1495" i="1"/>
  <c r="O1495" i="1" a="1"/>
  <c r="N1495" i="1"/>
  <c r="M1495" i="1"/>
  <c r="O1494" i="1"/>
  <c r="O1494" i="1" a="1"/>
  <c r="N1494" i="1"/>
  <c r="M1494" i="1"/>
  <c r="O1493" i="1"/>
  <c r="O1493" i="1" a="1"/>
  <c r="N1493" i="1"/>
  <c r="M1493" i="1"/>
  <c r="O1492" i="1"/>
  <c r="O1492" i="1" a="1"/>
  <c r="N1492" i="1"/>
  <c r="M1492" i="1"/>
  <c r="O1491" i="1"/>
  <c r="O1491" i="1" a="1"/>
  <c r="N1491" i="1"/>
  <c r="M1491" i="1"/>
  <c r="O1490" i="1"/>
  <c r="O1490" i="1" a="1"/>
  <c r="N1490" i="1"/>
  <c r="M1490" i="1"/>
  <c r="O1489" i="1"/>
  <c r="O1489" i="1" a="1"/>
  <c r="N1489" i="1"/>
  <c r="M1489" i="1"/>
  <c r="O1488" i="1"/>
  <c r="O1488" i="1" a="1"/>
  <c r="N1488" i="1"/>
  <c r="M1488" i="1"/>
  <c r="O1487" i="1"/>
  <c r="O1487" i="1" a="1"/>
  <c r="N1487" i="1"/>
  <c r="M1487" i="1"/>
  <c r="O1486" i="1"/>
  <c r="O1486" i="1" a="1"/>
  <c r="N1486" i="1"/>
  <c r="M1486" i="1"/>
  <c r="O1485" i="1"/>
  <c r="O1485" i="1" a="1"/>
  <c r="N1485" i="1"/>
  <c r="M1485" i="1"/>
  <c r="O1484" i="1"/>
  <c r="O1484" i="1" a="1"/>
  <c r="N1484" i="1"/>
  <c r="M1484" i="1"/>
  <c r="O1483" i="1"/>
  <c r="O1483" i="1" a="1"/>
  <c r="N1483" i="1"/>
  <c r="M1483" i="1"/>
  <c r="O1482" i="1"/>
  <c r="O1482" i="1" a="1"/>
  <c r="N1482" i="1"/>
  <c r="M1482" i="1"/>
  <c r="O1481" i="1"/>
  <c r="O1481" i="1" a="1"/>
  <c r="N1481" i="1"/>
  <c r="M1481" i="1"/>
  <c r="O1480" i="1"/>
  <c r="O1480" i="1" a="1"/>
  <c r="N1480" i="1"/>
  <c r="M1480" i="1"/>
  <c r="O1479" i="1"/>
  <c r="O1479" i="1" a="1"/>
  <c r="N1479" i="1"/>
  <c r="M1479" i="1"/>
  <c r="O1478" i="1"/>
  <c r="O1478" i="1" a="1"/>
  <c r="N1478" i="1"/>
  <c r="M1478" i="1"/>
  <c r="O1477" i="1"/>
  <c r="O1477" i="1" a="1"/>
  <c r="N1477" i="1"/>
  <c r="M1477" i="1"/>
  <c r="O1476" i="1"/>
  <c r="O1476" i="1" a="1"/>
  <c r="N1476" i="1"/>
  <c r="M1476" i="1"/>
  <c r="O1475" i="1"/>
  <c r="O1475" i="1" a="1"/>
  <c r="N1475" i="1"/>
  <c r="M1475" i="1"/>
  <c r="O1474" i="1"/>
  <c r="O1474" i="1" a="1"/>
  <c r="N1474" i="1"/>
  <c r="M1474" i="1"/>
  <c r="O1473" i="1"/>
  <c r="O1473" i="1" a="1"/>
  <c r="N1473" i="1"/>
  <c r="M1473" i="1"/>
  <c r="O1472" i="1"/>
  <c r="O1472" i="1" a="1"/>
  <c r="N1472" i="1"/>
  <c r="M1472" i="1"/>
  <c r="O1471" i="1"/>
  <c r="O1471" i="1" a="1"/>
  <c r="N1471" i="1"/>
  <c r="M1471" i="1"/>
  <c r="O1470" i="1"/>
  <c r="O1470" i="1" a="1"/>
  <c r="N1470" i="1"/>
  <c r="M1470" i="1"/>
  <c r="O1469" i="1"/>
  <c r="O1469" i="1" a="1"/>
  <c r="N1469" i="1"/>
  <c r="M1469" i="1"/>
  <c r="O1468" i="1"/>
  <c r="O1468" i="1" a="1"/>
  <c r="N1468" i="1"/>
  <c r="M1468" i="1"/>
  <c r="O1467" i="1"/>
  <c r="O1467" i="1" a="1"/>
  <c r="N1467" i="1"/>
  <c r="M1467" i="1"/>
  <c r="O1466" i="1"/>
  <c r="O1466" i="1" a="1"/>
  <c r="N1466" i="1"/>
  <c r="M1466" i="1"/>
  <c r="O1465" i="1"/>
  <c r="O1465" i="1" a="1"/>
  <c r="N1465" i="1"/>
  <c r="M1465" i="1"/>
  <c r="O1464" i="1"/>
  <c r="O1464" i="1" a="1"/>
  <c r="N1464" i="1"/>
  <c r="M1464" i="1"/>
  <c r="O1463" i="1"/>
  <c r="O1463" i="1" a="1"/>
  <c r="N1463" i="1"/>
  <c r="M1463" i="1"/>
  <c r="O1462" i="1"/>
  <c r="O1462" i="1" a="1"/>
  <c r="N1462" i="1"/>
  <c r="M1462" i="1"/>
  <c r="O1461" i="1"/>
  <c r="O1461" i="1" a="1"/>
  <c r="N1461" i="1"/>
  <c r="M1461" i="1"/>
  <c r="O1460" i="1"/>
  <c r="O1460" i="1" a="1"/>
  <c r="N1460" i="1"/>
  <c r="M1460" i="1"/>
  <c r="O1459" i="1"/>
  <c r="O1459" i="1" a="1"/>
  <c r="N1459" i="1"/>
  <c r="M1459" i="1"/>
  <c r="O1458" i="1"/>
  <c r="O1458" i="1" a="1"/>
  <c r="N1458" i="1"/>
  <c r="M1458" i="1"/>
  <c r="O1457" i="1"/>
  <c r="O1457" i="1" a="1"/>
  <c r="N1457" i="1"/>
  <c r="M1457" i="1"/>
  <c r="O1456" i="1"/>
  <c r="O1456" i="1" a="1"/>
  <c r="N1456" i="1"/>
  <c r="M1456" i="1"/>
  <c r="O1455" i="1"/>
  <c r="O1455" i="1" a="1"/>
  <c r="N1455" i="1"/>
  <c r="M1455" i="1"/>
  <c r="O1454" i="1"/>
  <c r="O1454" i="1" a="1"/>
  <c r="N1454" i="1"/>
  <c r="M1454" i="1"/>
  <c r="O1453" i="1"/>
  <c r="O1453" i="1" a="1"/>
  <c r="N1453" i="1"/>
  <c r="M1453" i="1"/>
  <c r="O1452" i="1"/>
  <c r="O1452" i="1" a="1"/>
  <c r="N1452" i="1"/>
  <c r="M1452" i="1"/>
  <c r="O1451" i="1"/>
  <c r="O1451" i="1" a="1"/>
  <c r="N1451" i="1"/>
  <c r="M1451" i="1"/>
  <c r="O1450" i="1"/>
  <c r="O1450" i="1" a="1"/>
  <c r="N1450" i="1"/>
  <c r="M1450" i="1"/>
  <c r="O1449" i="1"/>
  <c r="O1449" i="1" a="1"/>
  <c r="N1449" i="1"/>
  <c r="M1449" i="1"/>
  <c r="O1448" i="1"/>
  <c r="O1448" i="1" a="1"/>
  <c r="N1448" i="1"/>
  <c r="M1448" i="1"/>
  <c r="O1447" i="1"/>
  <c r="O1447" i="1" a="1"/>
  <c r="N1447" i="1"/>
  <c r="M1447" i="1"/>
  <c r="O1446" i="1"/>
  <c r="O1446" i="1" a="1"/>
  <c r="N1446" i="1"/>
  <c r="M1446" i="1"/>
  <c r="O1445" i="1"/>
  <c r="O1445" i="1" a="1"/>
  <c r="N1445" i="1"/>
  <c r="M1445" i="1"/>
  <c r="O1444" i="1"/>
  <c r="O1444" i="1" a="1"/>
  <c r="N1444" i="1"/>
  <c r="M1444" i="1"/>
  <c r="O1443" i="1"/>
  <c r="O1443" i="1" a="1"/>
  <c r="N1443" i="1"/>
  <c r="M1443" i="1"/>
  <c r="O1442" i="1"/>
  <c r="O1442" i="1" a="1"/>
  <c r="N1442" i="1"/>
  <c r="M1442" i="1"/>
  <c r="O1441" i="1"/>
  <c r="O1441" i="1" a="1"/>
  <c r="N1441" i="1"/>
  <c r="M1441" i="1"/>
  <c r="O1440" i="1"/>
  <c r="O1440" i="1" a="1"/>
  <c r="N1440" i="1"/>
  <c r="M1440" i="1"/>
  <c r="O1439" i="1"/>
  <c r="O1439" i="1" a="1"/>
  <c r="N1439" i="1"/>
  <c r="M1439" i="1"/>
  <c r="O1438" i="1"/>
  <c r="O1438" i="1" a="1"/>
  <c r="N1438" i="1"/>
  <c r="M1438" i="1"/>
  <c r="O1437" i="1"/>
  <c r="O1437" i="1" a="1"/>
  <c r="N1437" i="1"/>
  <c r="M1437" i="1"/>
  <c r="O1436" i="1"/>
  <c r="O1436" i="1" a="1"/>
  <c r="N1436" i="1"/>
  <c r="M1436" i="1"/>
  <c r="O1435" i="1"/>
  <c r="O1435" i="1" a="1"/>
  <c r="N1435" i="1"/>
  <c r="M1435" i="1"/>
  <c r="O1434" i="1"/>
  <c r="O1434" i="1" a="1"/>
  <c r="N1434" i="1"/>
  <c r="M1434" i="1"/>
  <c r="O1433" i="1"/>
  <c r="O1433" i="1" a="1"/>
  <c r="N1433" i="1"/>
  <c r="M1433" i="1"/>
  <c r="O1432" i="1"/>
  <c r="O1432" i="1" a="1"/>
  <c r="N1432" i="1"/>
  <c r="M1432" i="1"/>
  <c r="O1431" i="1"/>
  <c r="O1431" i="1" a="1"/>
  <c r="N1431" i="1"/>
  <c r="M1431" i="1"/>
  <c r="O1430" i="1"/>
  <c r="O1430" i="1" a="1"/>
  <c r="N1430" i="1"/>
  <c r="M1430" i="1"/>
  <c r="O1429" i="1"/>
  <c r="O1429" i="1" a="1"/>
  <c r="N1429" i="1"/>
  <c r="M1429" i="1"/>
  <c r="O1428" i="1"/>
  <c r="O1428" i="1" a="1"/>
  <c r="N1428" i="1"/>
  <c r="M1428" i="1"/>
  <c r="O1427" i="1"/>
  <c r="O1427" i="1" a="1"/>
  <c r="N1427" i="1"/>
  <c r="M1427" i="1"/>
  <c r="O1426" i="1"/>
  <c r="O1426" i="1" a="1"/>
  <c r="N1426" i="1"/>
  <c r="M1426" i="1"/>
  <c r="O1425" i="1"/>
  <c r="O1425" i="1" a="1"/>
  <c r="N1425" i="1"/>
  <c r="M1425" i="1"/>
  <c r="O1424" i="1"/>
  <c r="O1424" i="1" a="1"/>
  <c r="N1424" i="1"/>
  <c r="M1424" i="1"/>
  <c r="O1423" i="1"/>
  <c r="O1423" i="1" a="1"/>
  <c r="N1423" i="1"/>
  <c r="M1423" i="1"/>
  <c r="O1422" i="1"/>
  <c r="O1422" i="1" a="1"/>
  <c r="N1422" i="1"/>
  <c r="M1422" i="1"/>
  <c r="O1421" i="1"/>
  <c r="O1421" i="1" a="1"/>
  <c r="N1421" i="1"/>
  <c r="M1421" i="1"/>
  <c r="O1420" i="1"/>
  <c r="O1420" i="1" a="1"/>
  <c r="N1420" i="1"/>
  <c r="M1420" i="1"/>
  <c r="O1419" i="1"/>
  <c r="O1419" i="1" a="1"/>
  <c r="N1419" i="1"/>
  <c r="M1419" i="1"/>
  <c r="O1418" i="1"/>
  <c r="O1418" i="1" a="1"/>
  <c r="N1418" i="1"/>
  <c r="M1418" i="1"/>
  <c r="O1417" i="1"/>
  <c r="O1417" i="1" a="1"/>
  <c r="N1417" i="1"/>
  <c r="M1417" i="1"/>
  <c r="O1416" i="1"/>
  <c r="O1416" i="1" a="1"/>
  <c r="N1416" i="1"/>
  <c r="M1416" i="1"/>
  <c r="O1415" i="1"/>
  <c r="O1415" i="1" a="1"/>
  <c r="N1415" i="1"/>
  <c r="M1415" i="1"/>
  <c r="O1414" i="1"/>
  <c r="O1414" i="1" a="1"/>
  <c r="N1414" i="1"/>
  <c r="M1414" i="1"/>
  <c r="O1413" i="1"/>
  <c r="O1413" i="1" a="1"/>
  <c r="N1413" i="1"/>
  <c r="M1413" i="1"/>
  <c r="O1412" i="1"/>
  <c r="O1412" i="1" a="1"/>
  <c r="N1412" i="1"/>
  <c r="M1412" i="1"/>
  <c r="O1411" i="1"/>
  <c r="O1411" i="1" a="1"/>
  <c r="N1411" i="1"/>
  <c r="M1411" i="1"/>
  <c r="O1410" i="1"/>
  <c r="O1410" i="1" a="1"/>
  <c r="N1410" i="1"/>
  <c r="M1410" i="1"/>
  <c r="O1409" i="1"/>
  <c r="O1409" i="1" a="1"/>
  <c r="N1409" i="1"/>
  <c r="M1409" i="1"/>
  <c r="O1408" i="1"/>
  <c r="O1408" i="1" a="1"/>
  <c r="N1408" i="1"/>
  <c r="M1408" i="1"/>
  <c r="O1407" i="1"/>
  <c r="O1407" i="1" a="1"/>
  <c r="N1407" i="1"/>
  <c r="M1407" i="1"/>
  <c r="O1406" i="1"/>
  <c r="O1406" i="1" a="1"/>
  <c r="N1406" i="1"/>
  <c r="M1406" i="1"/>
  <c r="O1405" i="1"/>
  <c r="O1405" i="1" a="1"/>
  <c r="N1405" i="1"/>
  <c r="M1405" i="1"/>
  <c r="O1404" i="1"/>
  <c r="O1404" i="1" a="1"/>
  <c r="N1404" i="1"/>
  <c r="M1404" i="1"/>
  <c r="O1403" i="1"/>
  <c r="O1403" i="1" a="1"/>
  <c r="N1403" i="1"/>
  <c r="M1403" i="1"/>
  <c r="O1402" i="1"/>
  <c r="O1402" i="1" a="1"/>
  <c r="N1402" i="1"/>
  <c r="M1402" i="1"/>
  <c r="O1401" i="1"/>
  <c r="O1401" i="1" a="1"/>
  <c r="N1401" i="1"/>
  <c r="M1401" i="1"/>
  <c r="O1400" i="1"/>
  <c r="O1400" i="1" a="1"/>
  <c r="N1400" i="1"/>
  <c r="M1400" i="1"/>
  <c r="O1399" i="1"/>
  <c r="O1399" i="1" a="1"/>
  <c r="N1399" i="1"/>
  <c r="M1399" i="1"/>
  <c r="O1398" i="1"/>
  <c r="O1398" i="1" a="1"/>
  <c r="N1398" i="1"/>
  <c r="M1398" i="1"/>
  <c r="O1397" i="1"/>
  <c r="O1397" i="1" a="1"/>
  <c r="N1397" i="1"/>
  <c r="M1397" i="1"/>
  <c r="O1396" i="1"/>
  <c r="O1396" i="1" a="1"/>
  <c r="N1396" i="1"/>
  <c r="M1396" i="1"/>
  <c r="O1395" i="1"/>
  <c r="O1395" i="1" a="1"/>
  <c r="N1395" i="1"/>
  <c r="M1395" i="1"/>
  <c r="O1394" i="1"/>
  <c r="O1394" i="1" a="1"/>
  <c r="N1394" i="1"/>
  <c r="M1394" i="1"/>
  <c r="O1393" i="1"/>
  <c r="O1393" i="1" a="1"/>
  <c r="N1393" i="1"/>
  <c r="M1393" i="1"/>
  <c r="O1392" i="1"/>
  <c r="O1392" i="1" a="1"/>
  <c r="N1392" i="1"/>
  <c r="M1392" i="1"/>
  <c r="O1391" i="1"/>
  <c r="O1391" i="1" a="1"/>
  <c r="N1391" i="1"/>
  <c r="M1391" i="1"/>
  <c r="O1390" i="1"/>
  <c r="O1390" i="1" a="1"/>
  <c r="N1390" i="1"/>
  <c r="M1390" i="1"/>
  <c r="O1389" i="1"/>
  <c r="O1389" i="1" a="1"/>
  <c r="N1389" i="1"/>
  <c r="M1389" i="1"/>
  <c r="O1388" i="1"/>
  <c r="O1388" i="1" a="1"/>
  <c r="N1388" i="1"/>
  <c r="M1388" i="1"/>
  <c r="O1387" i="1"/>
  <c r="O1387" i="1" a="1"/>
  <c r="N1387" i="1"/>
  <c r="M1387" i="1"/>
  <c r="O1386" i="1"/>
  <c r="O1386" i="1" a="1"/>
  <c r="N1386" i="1"/>
  <c r="M1386" i="1"/>
  <c r="O1385" i="1"/>
  <c r="O1385" i="1" a="1"/>
  <c r="N1385" i="1"/>
  <c r="M1385" i="1"/>
  <c r="O1384" i="1"/>
  <c r="O1384" i="1" a="1"/>
  <c r="N1384" i="1"/>
  <c r="M1384" i="1"/>
  <c r="O1383" i="1"/>
  <c r="O1383" i="1" a="1"/>
  <c r="N1383" i="1"/>
  <c r="M1383" i="1"/>
  <c r="O1382" i="1"/>
  <c r="O1382" i="1" a="1"/>
  <c r="N1382" i="1"/>
  <c r="M1382" i="1"/>
  <c r="O1381" i="1"/>
  <c r="O1381" i="1" a="1"/>
  <c r="N1381" i="1"/>
  <c r="M1381" i="1"/>
  <c r="O1380" i="1"/>
  <c r="O1380" i="1" a="1"/>
  <c r="N1380" i="1"/>
  <c r="M1380" i="1"/>
  <c r="O1379" i="1"/>
  <c r="O1379" i="1" a="1"/>
  <c r="N1379" i="1"/>
  <c r="M1379" i="1"/>
  <c r="O1378" i="1"/>
  <c r="O1378" i="1" a="1"/>
  <c r="N1378" i="1"/>
  <c r="M1378" i="1"/>
  <c r="O1377" i="1"/>
  <c r="O1377" i="1" a="1"/>
  <c r="N1377" i="1"/>
  <c r="M1377" i="1"/>
  <c r="O1376" i="1"/>
  <c r="O1376" i="1" a="1"/>
  <c r="N1376" i="1"/>
  <c r="M1376" i="1"/>
  <c r="O1375" i="1"/>
  <c r="O1375" i="1" a="1"/>
  <c r="N1375" i="1"/>
  <c r="M1375" i="1"/>
  <c r="O1374" i="1"/>
  <c r="O1374" i="1" a="1"/>
  <c r="N1374" i="1"/>
  <c r="M1374" i="1"/>
  <c r="O1373" i="1"/>
  <c r="O1373" i="1" a="1"/>
  <c r="N1373" i="1"/>
  <c r="M1373" i="1"/>
  <c r="O1372" i="1"/>
  <c r="O1372" i="1" a="1"/>
  <c r="N1372" i="1"/>
  <c r="M1372" i="1"/>
  <c r="O1371" i="1"/>
  <c r="O1371" i="1" a="1"/>
  <c r="N1371" i="1"/>
  <c r="M1371" i="1"/>
  <c r="O1370" i="1"/>
  <c r="O1370" i="1" a="1"/>
  <c r="N1370" i="1"/>
  <c r="M1370" i="1"/>
  <c r="O1369" i="1"/>
  <c r="O1369" i="1" a="1"/>
  <c r="N1369" i="1"/>
  <c r="M1369" i="1"/>
  <c r="O1368" i="1"/>
  <c r="O1368" i="1" a="1"/>
  <c r="N1368" i="1"/>
  <c r="M1368" i="1"/>
  <c r="O1367" i="1"/>
  <c r="O1367" i="1" a="1"/>
  <c r="N1367" i="1"/>
  <c r="M1367" i="1"/>
  <c r="O1366" i="1"/>
  <c r="O1366" i="1" a="1"/>
  <c r="N1366" i="1"/>
  <c r="M1366" i="1"/>
  <c r="O1365" i="1"/>
  <c r="O1365" i="1" a="1"/>
  <c r="N1365" i="1"/>
  <c r="M1365" i="1"/>
  <c r="O1364" i="1"/>
  <c r="O1364" i="1" a="1"/>
  <c r="N1364" i="1"/>
  <c r="M1364" i="1"/>
  <c r="O1363" i="1"/>
  <c r="O1363" i="1" a="1"/>
  <c r="N1363" i="1"/>
  <c r="M1363" i="1"/>
  <c r="O1362" i="1"/>
  <c r="O1362" i="1" a="1"/>
  <c r="N1362" i="1"/>
  <c r="M1362" i="1"/>
  <c r="O1361" i="1"/>
  <c r="O1361" i="1" a="1"/>
  <c r="N1361" i="1"/>
  <c r="M1361" i="1"/>
  <c r="O1360" i="1"/>
  <c r="O1360" i="1" a="1"/>
  <c r="N1360" i="1"/>
  <c r="M1360" i="1"/>
  <c r="O1359" i="1"/>
  <c r="O1359" i="1" a="1"/>
  <c r="N1359" i="1"/>
  <c r="M1359" i="1"/>
  <c r="O1358" i="1"/>
  <c r="O1358" i="1" a="1"/>
  <c r="N1358" i="1"/>
  <c r="M1358" i="1"/>
  <c r="O1357" i="1"/>
  <c r="O1357" i="1" a="1"/>
  <c r="N1357" i="1"/>
  <c r="M1357" i="1"/>
  <c r="O1356" i="1"/>
  <c r="O1356" i="1" a="1"/>
  <c r="N1356" i="1"/>
  <c r="M1356" i="1"/>
  <c r="O1355" i="1"/>
  <c r="O1355" i="1" a="1"/>
  <c r="N1355" i="1"/>
  <c r="M1355" i="1"/>
  <c r="O1354" i="1"/>
  <c r="O1354" i="1" a="1"/>
  <c r="N1354" i="1"/>
  <c r="M1354" i="1"/>
  <c r="O1353" i="1"/>
  <c r="O1353" i="1" a="1"/>
  <c r="N1353" i="1"/>
  <c r="M1353" i="1"/>
  <c r="O1352" i="1"/>
  <c r="O1352" i="1" a="1"/>
  <c r="N1352" i="1"/>
  <c r="M1352" i="1"/>
  <c r="O1351" i="1"/>
  <c r="O1351" i="1" a="1"/>
  <c r="N1351" i="1"/>
  <c r="M1351" i="1"/>
  <c r="O1350" i="1"/>
  <c r="O1350" i="1" a="1"/>
  <c r="N1350" i="1"/>
  <c r="M1350" i="1"/>
  <c r="O1349" i="1"/>
  <c r="O1349" i="1" a="1"/>
  <c r="N1349" i="1"/>
  <c r="M1349" i="1"/>
  <c r="O1348" i="1"/>
  <c r="O1348" i="1" a="1"/>
  <c r="N1348" i="1"/>
  <c r="M1348" i="1"/>
  <c r="O1347" i="1"/>
  <c r="O1347" i="1" a="1"/>
  <c r="N1347" i="1"/>
  <c r="M1347" i="1"/>
  <c r="O1346" i="1"/>
  <c r="O1346" i="1" a="1"/>
  <c r="N1346" i="1"/>
  <c r="M1346" i="1"/>
  <c r="O1345" i="1"/>
  <c r="O1345" i="1" a="1"/>
  <c r="N1345" i="1"/>
  <c r="M1345" i="1"/>
  <c r="O1344" i="1"/>
  <c r="O1344" i="1" a="1"/>
  <c r="N1344" i="1"/>
  <c r="M1344" i="1"/>
  <c r="O1343" i="1"/>
  <c r="O1343" i="1" a="1"/>
  <c r="N1343" i="1"/>
  <c r="M1343" i="1"/>
  <c r="O1342" i="1"/>
  <c r="O1342" i="1" a="1"/>
  <c r="N1342" i="1"/>
  <c r="M1342" i="1"/>
  <c r="O1341" i="1"/>
  <c r="O1341" i="1" a="1"/>
  <c r="N1341" i="1"/>
  <c r="M1341" i="1"/>
  <c r="O1340" i="1"/>
  <c r="O1340" i="1" a="1"/>
  <c r="N1340" i="1"/>
  <c r="M1340" i="1"/>
  <c r="O1339" i="1"/>
  <c r="O1339" i="1" a="1"/>
  <c r="N1339" i="1"/>
  <c r="M1339" i="1"/>
  <c r="O1338" i="1"/>
  <c r="O1338" i="1" a="1"/>
  <c r="N1338" i="1"/>
  <c r="M1338" i="1"/>
  <c r="O1337" i="1"/>
  <c r="O1337" i="1" a="1"/>
  <c r="N1337" i="1"/>
  <c r="M1337" i="1"/>
  <c r="O1336" i="1"/>
  <c r="O1336" i="1" a="1"/>
  <c r="N1336" i="1"/>
  <c r="M1336" i="1"/>
  <c r="O1335" i="1"/>
  <c r="O1335" i="1" a="1"/>
  <c r="N1335" i="1"/>
  <c r="M1335" i="1"/>
  <c r="O1334" i="1"/>
  <c r="O1334" i="1" a="1"/>
  <c r="N1334" i="1"/>
  <c r="M1334" i="1"/>
  <c r="O1333" i="1"/>
  <c r="O1333" i="1" a="1"/>
  <c r="N1333" i="1"/>
  <c r="M1333" i="1"/>
  <c r="O1332" i="1"/>
  <c r="O1332" i="1" a="1"/>
  <c r="N1332" i="1"/>
  <c r="M1332" i="1"/>
  <c r="O1331" i="1"/>
  <c r="O1331" i="1" a="1"/>
  <c r="N1331" i="1"/>
  <c r="M1331" i="1"/>
  <c r="O1330" i="1"/>
  <c r="O1330" i="1" a="1"/>
  <c r="N1330" i="1"/>
  <c r="M1330" i="1"/>
  <c r="O1329" i="1"/>
  <c r="O1329" i="1" a="1"/>
  <c r="N1329" i="1"/>
  <c r="M1329" i="1"/>
  <c r="O1328" i="1"/>
  <c r="O1328" i="1" a="1"/>
  <c r="N1328" i="1"/>
  <c r="M1328" i="1"/>
  <c r="O1327" i="1"/>
  <c r="O1327" i="1" a="1"/>
  <c r="N1327" i="1"/>
  <c r="M1327" i="1"/>
  <c r="O1326" i="1"/>
  <c r="O1326" i="1" a="1"/>
  <c r="N1326" i="1"/>
  <c r="M1326" i="1"/>
  <c r="O1325" i="1"/>
  <c r="O1325" i="1" a="1"/>
  <c r="N1325" i="1"/>
  <c r="M1325" i="1"/>
  <c r="O1324" i="1"/>
  <c r="O1324" i="1" a="1"/>
  <c r="N1324" i="1"/>
  <c r="M1324" i="1"/>
  <c r="O1323" i="1"/>
  <c r="O1323" i="1" a="1"/>
  <c r="N1323" i="1"/>
  <c r="M1323" i="1"/>
  <c r="O1322" i="1"/>
  <c r="O1322" i="1" a="1"/>
  <c r="N1322" i="1"/>
  <c r="M1322" i="1"/>
  <c r="O1321" i="1"/>
  <c r="O1321" i="1" a="1"/>
  <c r="N1321" i="1"/>
  <c r="M1321" i="1"/>
  <c r="O1320" i="1"/>
  <c r="O1320" i="1" a="1"/>
  <c r="N1320" i="1"/>
  <c r="M1320" i="1"/>
  <c r="O1319" i="1"/>
  <c r="O1319" i="1" a="1"/>
  <c r="N1319" i="1"/>
  <c r="M1319" i="1"/>
  <c r="O1318" i="1"/>
  <c r="O1318" i="1" a="1"/>
  <c r="N1318" i="1"/>
  <c r="M1318" i="1"/>
  <c r="O1317" i="1"/>
  <c r="O1317" i="1" a="1"/>
  <c r="N1317" i="1"/>
  <c r="M1317" i="1"/>
  <c r="O1316" i="1"/>
  <c r="O1316" i="1" a="1"/>
  <c r="N1316" i="1"/>
  <c r="M1316" i="1"/>
  <c r="O1315" i="1"/>
  <c r="O1315" i="1" a="1"/>
  <c r="N1315" i="1"/>
  <c r="M1315" i="1"/>
  <c r="O1314" i="1"/>
  <c r="O1314" i="1" a="1"/>
  <c r="N1314" i="1"/>
  <c r="M1314" i="1"/>
  <c r="O1313" i="1"/>
  <c r="O1313" i="1" a="1"/>
  <c r="N1313" i="1"/>
  <c r="M1313" i="1"/>
  <c r="O1312" i="1"/>
  <c r="O1312" i="1" a="1"/>
  <c r="N1312" i="1"/>
  <c r="M1312" i="1"/>
  <c r="O1311" i="1"/>
  <c r="O1311" i="1" a="1"/>
  <c r="N1311" i="1"/>
  <c r="M1311" i="1"/>
  <c r="O1310" i="1"/>
  <c r="O1310" i="1" a="1"/>
  <c r="N1310" i="1"/>
  <c r="M1310" i="1"/>
  <c r="O1309" i="1"/>
  <c r="O1309" i="1" a="1"/>
  <c r="N1309" i="1"/>
  <c r="M1309" i="1"/>
  <c r="O1308" i="1"/>
  <c r="O1308" i="1" a="1"/>
  <c r="N1308" i="1"/>
  <c r="M1308" i="1"/>
  <c r="O1307" i="1"/>
  <c r="O1307" i="1" a="1"/>
  <c r="N1307" i="1"/>
  <c r="M1307" i="1"/>
  <c r="O1306" i="1"/>
  <c r="O1306" i="1" a="1"/>
  <c r="N1306" i="1"/>
  <c r="M1306" i="1"/>
  <c r="O1305" i="1"/>
  <c r="O1305" i="1" a="1"/>
  <c r="N1305" i="1"/>
  <c r="M1305" i="1"/>
  <c r="O1304" i="1"/>
  <c r="O1304" i="1" a="1"/>
  <c r="N1304" i="1"/>
  <c r="M1304" i="1"/>
  <c r="O1303" i="1"/>
  <c r="O1303" i="1" a="1"/>
  <c r="N1303" i="1"/>
  <c r="M1303" i="1"/>
  <c r="O1302" i="1"/>
  <c r="O1302" i="1" a="1"/>
  <c r="N1302" i="1"/>
  <c r="M1302" i="1"/>
  <c r="O1301" i="1"/>
  <c r="O1301" i="1" a="1"/>
  <c r="N1301" i="1"/>
  <c r="M1301" i="1"/>
  <c r="O1300" i="1"/>
  <c r="O1300" i="1" a="1"/>
  <c r="N1300" i="1"/>
  <c r="M1300" i="1"/>
  <c r="O1299" i="1"/>
  <c r="O1299" i="1" a="1"/>
  <c r="N1299" i="1"/>
  <c r="M1299" i="1"/>
  <c r="O1298" i="1"/>
  <c r="O1298" i="1" a="1"/>
  <c r="N1298" i="1"/>
  <c r="M1298" i="1"/>
  <c r="O1297" i="1"/>
  <c r="O1297" i="1" a="1"/>
  <c r="N1297" i="1"/>
  <c r="M1297" i="1"/>
  <c r="O1296" i="1"/>
  <c r="O1296" i="1" a="1"/>
  <c r="N1296" i="1"/>
  <c r="M1296" i="1"/>
  <c r="O1295" i="1"/>
  <c r="O1295" i="1" a="1"/>
  <c r="N1295" i="1"/>
  <c r="M1295" i="1"/>
  <c r="O1294" i="1"/>
  <c r="O1294" i="1" a="1"/>
  <c r="N1294" i="1"/>
  <c r="M1294" i="1"/>
  <c r="O1293" i="1"/>
  <c r="O1293" i="1" a="1"/>
  <c r="N1293" i="1"/>
  <c r="M1293" i="1"/>
  <c r="O1292" i="1"/>
  <c r="O1292" i="1" a="1"/>
  <c r="N1292" i="1"/>
  <c r="M1292" i="1"/>
  <c r="O1291" i="1"/>
  <c r="O1291" i="1" a="1"/>
  <c r="N1291" i="1"/>
  <c r="M1291" i="1"/>
  <c r="O1290" i="1"/>
  <c r="O1290" i="1" a="1"/>
  <c r="N1290" i="1"/>
  <c r="M1290" i="1"/>
  <c r="O1289" i="1"/>
  <c r="O1289" i="1" a="1"/>
  <c r="N1289" i="1"/>
  <c r="M1289" i="1"/>
  <c r="O1288" i="1"/>
  <c r="O1288" i="1" a="1"/>
  <c r="N1288" i="1"/>
  <c r="M1288" i="1"/>
  <c r="O1287" i="1"/>
  <c r="O1287" i="1" a="1"/>
  <c r="N1287" i="1"/>
  <c r="M1287" i="1"/>
  <c r="O1286" i="1"/>
  <c r="O1286" i="1" a="1"/>
  <c r="N1286" i="1"/>
  <c r="M1286" i="1"/>
  <c r="O1285" i="1"/>
  <c r="O1285" i="1" a="1"/>
  <c r="N1285" i="1"/>
  <c r="M1285" i="1"/>
  <c r="O1284" i="1"/>
  <c r="O1284" i="1" a="1"/>
  <c r="N1284" i="1"/>
  <c r="M1284" i="1"/>
  <c r="O1283" i="1"/>
  <c r="O1283" i="1" a="1"/>
  <c r="N1283" i="1"/>
  <c r="M1283" i="1"/>
  <c r="O1282" i="1"/>
  <c r="O1282" i="1" a="1"/>
  <c r="N1282" i="1"/>
  <c r="M1282" i="1"/>
  <c r="O1281" i="1"/>
  <c r="O1281" i="1" a="1"/>
  <c r="N1281" i="1"/>
  <c r="M1281" i="1"/>
  <c r="O1280" i="1"/>
  <c r="O1280" i="1" a="1"/>
  <c r="N1280" i="1"/>
  <c r="M1280" i="1"/>
  <c r="O1279" i="1"/>
  <c r="O1279" i="1" a="1"/>
  <c r="N1279" i="1"/>
  <c r="M1279" i="1"/>
  <c r="O1278" i="1"/>
  <c r="O1278" i="1" a="1"/>
  <c r="N1278" i="1"/>
  <c r="M1278" i="1"/>
  <c r="O1277" i="1"/>
  <c r="O1277" i="1" a="1"/>
  <c r="N1277" i="1"/>
  <c r="M1277" i="1"/>
  <c r="O1276" i="1"/>
  <c r="O1276" i="1" a="1"/>
  <c r="N1276" i="1"/>
  <c r="M1276" i="1"/>
  <c r="O1275" i="1"/>
  <c r="O1275" i="1" a="1"/>
  <c r="N1275" i="1"/>
  <c r="M1275" i="1"/>
  <c r="O1274" i="1"/>
  <c r="O1274" i="1" a="1"/>
  <c r="N1274" i="1"/>
  <c r="M1274" i="1"/>
  <c r="O1273" i="1"/>
  <c r="O1273" i="1" a="1"/>
  <c r="N1273" i="1"/>
  <c r="M1273" i="1"/>
  <c r="O1272" i="1"/>
  <c r="O1272" i="1" a="1"/>
  <c r="N1272" i="1"/>
  <c r="M1272" i="1"/>
  <c r="O1271" i="1"/>
  <c r="O1271" i="1" a="1"/>
  <c r="N1271" i="1"/>
  <c r="M1271" i="1"/>
  <c r="O1270" i="1"/>
  <c r="O1270" i="1" a="1"/>
  <c r="N1270" i="1"/>
  <c r="M1270" i="1"/>
  <c r="O1269" i="1"/>
  <c r="O1269" i="1" a="1"/>
  <c r="N1269" i="1"/>
  <c r="M1269" i="1"/>
  <c r="O1268" i="1"/>
  <c r="O1268" i="1" a="1"/>
  <c r="N1268" i="1"/>
  <c r="M1268" i="1"/>
  <c r="O1267" i="1"/>
  <c r="O1267" i="1" a="1"/>
  <c r="N1267" i="1"/>
  <c r="M1267" i="1"/>
  <c r="O1266" i="1"/>
  <c r="O1266" i="1" a="1"/>
  <c r="N1266" i="1"/>
  <c r="M1266" i="1"/>
  <c r="O1265" i="1"/>
  <c r="O1265" i="1" a="1"/>
  <c r="N1265" i="1"/>
  <c r="M1265" i="1"/>
  <c r="O1264" i="1"/>
  <c r="O1264" i="1" a="1"/>
  <c r="N1264" i="1"/>
  <c r="M1264" i="1"/>
  <c r="O1263" i="1"/>
  <c r="O1263" i="1" a="1"/>
  <c r="N1263" i="1"/>
  <c r="M1263" i="1"/>
  <c r="O1262" i="1"/>
  <c r="O1262" i="1" a="1"/>
  <c r="N1262" i="1"/>
  <c r="M1262" i="1"/>
  <c r="O1261" i="1"/>
  <c r="O1261" i="1" a="1"/>
  <c r="N1261" i="1"/>
  <c r="M1261" i="1"/>
  <c r="O1260" i="1"/>
  <c r="O1260" i="1" a="1"/>
  <c r="N1260" i="1"/>
  <c r="M1260" i="1"/>
  <c r="O1259" i="1"/>
  <c r="O1259" i="1" a="1"/>
  <c r="N1259" i="1"/>
  <c r="M1259" i="1"/>
  <c r="O1258" i="1"/>
  <c r="O1258" i="1" a="1"/>
  <c r="N1258" i="1"/>
  <c r="M1258" i="1"/>
  <c r="O1257" i="1"/>
  <c r="O1257" i="1" a="1"/>
  <c r="N1257" i="1"/>
  <c r="M1257" i="1"/>
  <c r="O1256" i="1"/>
  <c r="O1256" i="1" a="1"/>
  <c r="N1256" i="1"/>
  <c r="M1256" i="1"/>
  <c r="O1255" i="1"/>
  <c r="O1255" i="1" a="1"/>
  <c r="N1255" i="1"/>
  <c r="M1255" i="1"/>
  <c r="O1254" i="1"/>
  <c r="O1254" i="1" a="1"/>
  <c r="N1254" i="1"/>
  <c r="M1254" i="1"/>
  <c r="O1253" i="1"/>
  <c r="O1253" i="1" a="1"/>
  <c r="N1253" i="1"/>
  <c r="M1253" i="1"/>
  <c r="O1252" i="1"/>
  <c r="O1252" i="1" a="1"/>
  <c r="N1252" i="1"/>
  <c r="M1252" i="1"/>
  <c r="O1251" i="1"/>
  <c r="O1251" i="1" a="1"/>
  <c r="N1251" i="1"/>
  <c r="M1251" i="1"/>
  <c r="O1250" i="1"/>
  <c r="O1250" i="1" a="1"/>
  <c r="N1250" i="1"/>
  <c r="M1250" i="1"/>
  <c r="O1249" i="1"/>
  <c r="O1249" i="1" a="1"/>
  <c r="N1249" i="1"/>
  <c r="M1249" i="1"/>
  <c r="O1248" i="1"/>
  <c r="O1248" i="1" a="1"/>
  <c r="N1248" i="1"/>
  <c r="M1248" i="1"/>
  <c r="O1247" i="1"/>
  <c r="O1247" i="1" a="1"/>
  <c r="N1247" i="1"/>
  <c r="M1247" i="1"/>
  <c r="O1246" i="1"/>
  <c r="O1246" i="1" a="1"/>
  <c r="N1246" i="1"/>
  <c r="M1246" i="1"/>
  <c r="O1245" i="1"/>
  <c r="O1245" i="1" a="1"/>
  <c r="N1245" i="1"/>
  <c r="M1245" i="1"/>
  <c r="O1244" i="1"/>
  <c r="O1244" i="1" a="1"/>
  <c r="N1244" i="1"/>
  <c r="M1244" i="1"/>
  <c r="O1243" i="1"/>
  <c r="O1243" i="1" a="1"/>
  <c r="N1243" i="1"/>
  <c r="M1243" i="1"/>
  <c r="O1242" i="1"/>
  <c r="O1242" i="1" a="1"/>
  <c r="N1242" i="1"/>
  <c r="M1242" i="1"/>
  <c r="O1241" i="1"/>
  <c r="O1241" i="1" a="1"/>
  <c r="N1241" i="1"/>
  <c r="M1241" i="1"/>
  <c r="O1240" i="1"/>
  <c r="O1240" i="1" a="1"/>
  <c r="N1240" i="1"/>
  <c r="M1240" i="1"/>
  <c r="O1239" i="1"/>
  <c r="O1239" i="1" a="1"/>
  <c r="N1239" i="1"/>
  <c r="M1239" i="1"/>
  <c r="O1238" i="1"/>
  <c r="O1238" i="1" a="1"/>
  <c r="N1238" i="1"/>
  <c r="M1238" i="1"/>
  <c r="O1237" i="1"/>
  <c r="O1237" i="1" a="1"/>
  <c r="N1237" i="1"/>
  <c r="M1237" i="1"/>
  <c r="O1236" i="1"/>
  <c r="O1236" i="1" a="1"/>
  <c r="N1236" i="1"/>
  <c r="M1236" i="1"/>
  <c r="O1235" i="1"/>
  <c r="O1235" i="1" a="1"/>
  <c r="N1235" i="1"/>
  <c r="M1235" i="1"/>
  <c r="O1234" i="1"/>
  <c r="O1234" i="1" a="1"/>
  <c r="N1234" i="1"/>
  <c r="M1234" i="1"/>
  <c r="O1233" i="1"/>
  <c r="O1233" i="1" a="1"/>
  <c r="N1233" i="1"/>
  <c r="M1233" i="1"/>
  <c r="O1232" i="1"/>
  <c r="O1232" i="1" a="1"/>
  <c r="N1232" i="1"/>
  <c r="M1232" i="1"/>
  <c r="O1231" i="1"/>
  <c r="O1231" i="1" a="1"/>
  <c r="N1231" i="1"/>
  <c r="M1231" i="1"/>
  <c r="O1230" i="1"/>
  <c r="O1230" i="1" a="1"/>
  <c r="N1230" i="1"/>
  <c r="M1230" i="1"/>
  <c r="O1229" i="1"/>
  <c r="O1229" i="1" a="1"/>
  <c r="N1229" i="1"/>
  <c r="M1229" i="1"/>
  <c r="O1228" i="1"/>
  <c r="O1228" i="1" a="1"/>
  <c r="N1228" i="1"/>
  <c r="M1228" i="1"/>
  <c r="O1227" i="1"/>
  <c r="O1227" i="1" a="1"/>
  <c r="N1227" i="1"/>
  <c r="M1227" i="1"/>
  <c r="O1226" i="1"/>
  <c r="O1226" i="1" a="1"/>
  <c r="N1226" i="1"/>
  <c r="M1226" i="1"/>
  <c r="O1225" i="1"/>
  <c r="O1225" i="1" a="1"/>
  <c r="N1225" i="1"/>
  <c r="M1225" i="1"/>
  <c r="O1224" i="1"/>
  <c r="O1224" i="1" a="1"/>
  <c r="N1224" i="1"/>
  <c r="M1224" i="1"/>
  <c r="O1223" i="1"/>
  <c r="O1223" i="1" a="1"/>
  <c r="N1223" i="1"/>
  <c r="M1223" i="1"/>
  <c r="O1222" i="1"/>
  <c r="O1222" i="1" a="1"/>
  <c r="N1222" i="1"/>
  <c r="M1222" i="1"/>
  <c r="O1221" i="1"/>
  <c r="O1221" i="1" a="1"/>
  <c r="N1221" i="1"/>
  <c r="M1221" i="1"/>
  <c r="O1220" i="1"/>
  <c r="O1220" i="1" a="1"/>
  <c r="N1220" i="1"/>
  <c r="M1220" i="1"/>
  <c r="O1219" i="1"/>
  <c r="O1219" i="1" a="1"/>
  <c r="N1219" i="1"/>
  <c r="M1219" i="1"/>
  <c r="O1218" i="1"/>
  <c r="O1218" i="1" a="1"/>
  <c r="N1218" i="1"/>
  <c r="M1218" i="1"/>
  <c r="O1217" i="1"/>
  <c r="O1217" i="1" a="1"/>
  <c r="N1217" i="1"/>
  <c r="M1217" i="1"/>
  <c r="O1216" i="1"/>
  <c r="O1216" i="1" a="1"/>
  <c r="N1216" i="1"/>
  <c r="M1216" i="1"/>
  <c r="O1215" i="1"/>
  <c r="O1215" i="1" a="1"/>
  <c r="N1215" i="1"/>
  <c r="M1215" i="1"/>
  <c r="O1214" i="1"/>
  <c r="O1214" i="1" a="1"/>
  <c r="N1214" i="1"/>
  <c r="M1214" i="1"/>
  <c r="O1213" i="1"/>
  <c r="O1213" i="1" a="1"/>
  <c r="N1213" i="1"/>
  <c r="M1213" i="1"/>
  <c r="O1212" i="1"/>
  <c r="O1212" i="1" a="1"/>
  <c r="N1212" i="1"/>
  <c r="M1212" i="1"/>
  <c r="O1211" i="1"/>
  <c r="O1211" i="1" a="1"/>
  <c r="N1211" i="1"/>
  <c r="M1211" i="1"/>
  <c r="O1210" i="1"/>
  <c r="O1210" i="1" a="1"/>
  <c r="N1210" i="1"/>
  <c r="M1210" i="1"/>
  <c r="O1209" i="1"/>
  <c r="O1209" i="1" a="1"/>
  <c r="N1209" i="1"/>
  <c r="M1209" i="1"/>
  <c r="O1208" i="1"/>
  <c r="O1208" i="1" a="1"/>
  <c r="N1208" i="1"/>
  <c r="M1208" i="1"/>
  <c r="O1207" i="1"/>
  <c r="O1207" i="1" a="1"/>
  <c r="N1207" i="1"/>
  <c r="M1207" i="1"/>
  <c r="O1206" i="1"/>
  <c r="O1206" i="1" a="1"/>
  <c r="N1206" i="1"/>
  <c r="M1206" i="1"/>
  <c r="O1205" i="1"/>
  <c r="O1205" i="1" a="1"/>
  <c r="N1205" i="1"/>
  <c r="M1205" i="1"/>
  <c r="O1204" i="1"/>
  <c r="O1204" i="1" a="1"/>
  <c r="N1204" i="1"/>
  <c r="M1204" i="1"/>
  <c r="O1203" i="1"/>
  <c r="O1203" i="1" a="1"/>
  <c r="N1203" i="1"/>
  <c r="M1203" i="1"/>
  <c r="O1202" i="1"/>
  <c r="O1202" i="1" a="1"/>
  <c r="N1202" i="1"/>
  <c r="M1202" i="1"/>
  <c r="O1201" i="1"/>
  <c r="O1201" i="1" a="1"/>
  <c r="N1201" i="1"/>
  <c r="M1201" i="1"/>
  <c r="O1200" i="1"/>
  <c r="O1200" i="1" a="1"/>
  <c r="N1200" i="1"/>
  <c r="M1200" i="1"/>
  <c r="O1199" i="1"/>
  <c r="O1199" i="1" a="1"/>
  <c r="N1199" i="1"/>
  <c r="M1199" i="1"/>
  <c r="O1198" i="1"/>
  <c r="O1198" i="1" a="1"/>
  <c r="N1198" i="1"/>
  <c r="M1198" i="1"/>
  <c r="O1197" i="1"/>
  <c r="O1197" i="1" a="1"/>
  <c r="N1197" i="1"/>
  <c r="M1197" i="1"/>
  <c r="O1196" i="1"/>
  <c r="O1196" i="1" a="1"/>
  <c r="N1196" i="1"/>
  <c r="M1196" i="1"/>
  <c r="O1195" i="1"/>
  <c r="O1195" i="1" a="1"/>
  <c r="N1195" i="1"/>
  <c r="M1195" i="1"/>
  <c r="O1194" i="1"/>
  <c r="O1194" i="1" a="1"/>
  <c r="N1194" i="1"/>
  <c r="M1194" i="1"/>
  <c r="O1193" i="1"/>
  <c r="O1193" i="1" a="1"/>
  <c r="N1193" i="1"/>
  <c r="M1193" i="1"/>
  <c r="O1192" i="1"/>
  <c r="O1192" i="1" a="1"/>
  <c r="N1192" i="1"/>
  <c r="M1192" i="1"/>
  <c r="O1191" i="1"/>
  <c r="O1191" i="1" a="1"/>
  <c r="N1191" i="1"/>
  <c r="M1191" i="1"/>
  <c r="O1190" i="1"/>
  <c r="O1190" i="1" a="1"/>
  <c r="N1190" i="1"/>
  <c r="M1190" i="1"/>
  <c r="O1189" i="1"/>
  <c r="O1189" i="1" a="1"/>
  <c r="N1189" i="1"/>
  <c r="M1189" i="1"/>
  <c r="O1188" i="1"/>
  <c r="O1188" i="1" a="1"/>
  <c r="N1188" i="1"/>
  <c r="M1188" i="1"/>
  <c r="O1187" i="1"/>
  <c r="O1187" i="1" a="1"/>
  <c r="N1187" i="1"/>
  <c r="M1187" i="1"/>
  <c r="O1186" i="1"/>
  <c r="O1186" i="1" a="1"/>
  <c r="N1186" i="1"/>
  <c r="M1186" i="1"/>
  <c r="O1185" i="1"/>
  <c r="O1185" i="1" a="1"/>
  <c r="N1185" i="1"/>
  <c r="M1185" i="1"/>
  <c r="O1184" i="1"/>
  <c r="O1184" i="1" a="1"/>
  <c r="N1184" i="1"/>
  <c r="M1184" i="1"/>
  <c r="O1183" i="1"/>
  <c r="O1183" i="1" a="1"/>
  <c r="N1183" i="1"/>
  <c r="M1183" i="1"/>
  <c r="O1182" i="1"/>
  <c r="O1182" i="1" a="1"/>
  <c r="N1182" i="1"/>
  <c r="M1182" i="1"/>
  <c r="O1181" i="1"/>
  <c r="O1181" i="1" a="1"/>
  <c r="N1181" i="1"/>
  <c r="M1181" i="1"/>
  <c r="O1180" i="1"/>
  <c r="O1180" i="1" a="1"/>
  <c r="N1180" i="1"/>
  <c r="M1180" i="1"/>
  <c r="O1179" i="1"/>
  <c r="O1179" i="1" a="1"/>
  <c r="N1179" i="1"/>
  <c r="M1179" i="1"/>
  <c r="O1178" i="1"/>
  <c r="O1178" i="1" a="1"/>
  <c r="N1178" i="1"/>
  <c r="M1178" i="1"/>
  <c r="O1177" i="1"/>
  <c r="O1177" i="1" a="1"/>
  <c r="N1177" i="1"/>
  <c r="M1177" i="1"/>
  <c r="O1176" i="1"/>
  <c r="O1176" i="1" a="1"/>
  <c r="N1176" i="1"/>
  <c r="M1176" i="1"/>
  <c r="O1175" i="1"/>
  <c r="O1175" i="1" a="1"/>
  <c r="N1175" i="1"/>
  <c r="M1175" i="1"/>
  <c r="O1174" i="1"/>
  <c r="O1174" i="1" a="1"/>
  <c r="N1174" i="1"/>
  <c r="M1174" i="1"/>
  <c r="O1173" i="1"/>
  <c r="O1173" i="1" a="1"/>
  <c r="N1173" i="1"/>
  <c r="M1173" i="1"/>
  <c r="O1172" i="1"/>
  <c r="O1172" i="1" a="1"/>
  <c r="N1172" i="1"/>
  <c r="M1172" i="1"/>
  <c r="O1171" i="1"/>
  <c r="O1171" i="1" a="1"/>
  <c r="N1171" i="1"/>
  <c r="M1171" i="1"/>
  <c r="O1170" i="1"/>
  <c r="O1170" i="1" a="1"/>
  <c r="N1170" i="1"/>
  <c r="M1170" i="1"/>
  <c r="O1169" i="1"/>
  <c r="O1169" i="1" a="1"/>
  <c r="N1169" i="1"/>
  <c r="M1169" i="1"/>
  <c r="O1168" i="1"/>
  <c r="O1168" i="1" a="1"/>
  <c r="N1168" i="1"/>
  <c r="M1168" i="1"/>
  <c r="O1167" i="1"/>
  <c r="O1167" i="1" a="1"/>
  <c r="N1167" i="1"/>
  <c r="M1167" i="1"/>
  <c r="O1166" i="1"/>
  <c r="O1166" i="1" a="1"/>
  <c r="N1166" i="1"/>
  <c r="M1166" i="1"/>
  <c r="O1165" i="1"/>
  <c r="O1165" i="1" a="1"/>
  <c r="N1165" i="1"/>
  <c r="M1165" i="1"/>
  <c r="O1164" i="1"/>
  <c r="O1164" i="1" a="1"/>
  <c r="N1164" i="1"/>
  <c r="M1164" i="1"/>
  <c r="O1163" i="1"/>
  <c r="O1163" i="1" a="1"/>
  <c r="N1163" i="1"/>
  <c r="M1163" i="1"/>
  <c r="O1162" i="1"/>
  <c r="O1162" i="1" a="1"/>
  <c r="N1162" i="1"/>
  <c r="M1162" i="1"/>
  <c r="O1161" i="1"/>
  <c r="O1161" i="1" a="1"/>
  <c r="N1161" i="1"/>
  <c r="M1161" i="1"/>
  <c r="O1160" i="1"/>
  <c r="O1160" i="1" a="1"/>
  <c r="N1160" i="1"/>
  <c r="M1160" i="1"/>
  <c r="O1159" i="1"/>
  <c r="O1159" i="1" a="1"/>
  <c r="N1159" i="1"/>
  <c r="M1159" i="1"/>
  <c r="O1158" i="1"/>
  <c r="O1158" i="1" a="1"/>
  <c r="N1158" i="1"/>
  <c r="M1158" i="1"/>
  <c r="O1157" i="1"/>
  <c r="O1157" i="1" a="1"/>
  <c r="N1157" i="1"/>
  <c r="M1157" i="1"/>
  <c r="O1156" i="1"/>
  <c r="O1156" i="1" a="1"/>
  <c r="N1156" i="1"/>
  <c r="M1156" i="1"/>
  <c r="O1155" i="1"/>
  <c r="O1155" i="1" a="1"/>
  <c r="N1155" i="1"/>
  <c r="M1155" i="1"/>
  <c r="O1154" i="1"/>
  <c r="O1154" i="1" a="1"/>
  <c r="N1154" i="1"/>
  <c r="M1154" i="1"/>
  <c r="O1153" i="1"/>
  <c r="O1153" i="1" a="1"/>
  <c r="N1153" i="1"/>
  <c r="M1153" i="1"/>
  <c r="O1152" i="1"/>
  <c r="O1152" i="1" a="1"/>
  <c r="N1152" i="1"/>
  <c r="M1152" i="1"/>
  <c r="O1151" i="1"/>
  <c r="O1151" i="1" a="1"/>
  <c r="N1151" i="1"/>
  <c r="M1151" i="1"/>
  <c r="O1150" i="1"/>
  <c r="O1150" i="1" a="1"/>
  <c r="N1150" i="1"/>
  <c r="M1150" i="1"/>
  <c r="O1149" i="1"/>
  <c r="O1149" i="1" a="1"/>
  <c r="N1149" i="1"/>
  <c r="M1149" i="1"/>
  <c r="O1148" i="1"/>
  <c r="O1148" i="1" a="1"/>
  <c r="N1148" i="1"/>
  <c r="M1148" i="1"/>
  <c r="O1147" i="1"/>
  <c r="O1147" i="1" a="1"/>
  <c r="N1147" i="1"/>
  <c r="M1147" i="1"/>
  <c r="O1146" i="1"/>
  <c r="O1146" i="1" a="1"/>
  <c r="N1146" i="1"/>
  <c r="M1146" i="1"/>
  <c r="O1145" i="1"/>
  <c r="O1145" i="1" a="1"/>
  <c r="N1145" i="1"/>
  <c r="M1145" i="1"/>
  <c r="O1144" i="1"/>
  <c r="O1144" i="1" a="1"/>
  <c r="N1144" i="1"/>
  <c r="M1144" i="1"/>
  <c r="O1143" i="1"/>
  <c r="O1143" i="1" a="1"/>
  <c r="N1143" i="1"/>
  <c r="M1143" i="1"/>
  <c r="O1142" i="1"/>
  <c r="O1142" i="1" a="1"/>
  <c r="N1142" i="1"/>
  <c r="M1142" i="1"/>
  <c r="O1141" i="1"/>
  <c r="O1141" i="1" a="1"/>
  <c r="N1141" i="1"/>
  <c r="M1141" i="1"/>
  <c r="O1140" i="1"/>
  <c r="O1140" i="1" a="1"/>
  <c r="N1140" i="1"/>
  <c r="M1140" i="1"/>
  <c r="O1139" i="1"/>
  <c r="O1139" i="1" a="1"/>
  <c r="N1139" i="1"/>
  <c r="M1139" i="1"/>
  <c r="O1138" i="1"/>
  <c r="O1138" i="1" a="1"/>
  <c r="N1138" i="1"/>
  <c r="M1138" i="1"/>
  <c r="O1137" i="1"/>
  <c r="O1137" i="1" a="1"/>
  <c r="N1137" i="1"/>
  <c r="M1137" i="1"/>
  <c r="O1136" i="1"/>
  <c r="O1136" i="1" a="1"/>
  <c r="N1136" i="1"/>
  <c r="M1136" i="1"/>
  <c r="O1135" i="1"/>
  <c r="O1135" i="1" a="1"/>
  <c r="N1135" i="1"/>
  <c r="M1135" i="1"/>
  <c r="O1134" i="1"/>
  <c r="O1134" i="1" a="1"/>
  <c r="N1134" i="1"/>
  <c r="M1134" i="1"/>
  <c r="O1133" i="1"/>
  <c r="O1133" i="1" a="1"/>
  <c r="N1133" i="1"/>
  <c r="M1133" i="1"/>
  <c r="O1132" i="1"/>
  <c r="O1132" i="1" a="1"/>
  <c r="N1132" i="1"/>
  <c r="M1132" i="1"/>
  <c r="O1131" i="1"/>
  <c r="O1131" i="1" a="1"/>
  <c r="N1131" i="1"/>
  <c r="M1131" i="1"/>
  <c r="O1130" i="1"/>
  <c r="O1130" i="1" a="1"/>
  <c r="N1130" i="1"/>
  <c r="M1130" i="1"/>
  <c r="O1129" i="1"/>
  <c r="O1129" i="1" a="1"/>
  <c r="N1129" i="1"/>
  <c r="M1129" i="1"/>
  <c r="O1128" i="1"/>
  <c r="O1128" i="1" a="1"/>
  <c r="N1128" i="1"/>
  <c r="M1128" i="1"/>
  <c r="O1127" i="1"/>
  <c r="O1127" i="1" a="1"/>
  <c r="N1127" i="1"/>
  <c r="M1127" i="1"/>
  <c r="O1126" i="1"/>
  <c r="O1126" i="1" a="1"/>
  <c r="N1126" i="1"/>
  <c r="M1126" i="1"/>
  <c r="O1125" i="1"/>
  <c r="O1125" i="1" a="1"/>
  <c r="N1125" i="1"/>
  <c r="M1125" i="1"/>
  <c r="O1124" i="1"/>
  <c r="O1124" i="1" a="1"/>
  <c r="N1124" i="1"/>
  <c r="M1124" i="1"/>
  <c r="O1123" i="1"/>
  <c r="O1123" i="1" a="1"/>
  <c r="N1123" i="1"/>
  <c r="M1123" i="1"/>
  <c r="O1122" i="1"/>
  <c r="O1122" i="1" a="1"/>
  <c r="N1122" i="1"/>
  <c r="M1122" i="1"/>
  <c r="O1121" i="1"/>
  <c r="O1121" i="1" a="1"/>
  <c r="N1121" i="1"/>
  <c r="M1121" i="1"/>
  <c r="O1120" i="1"/>
  <c r="O1120" i="1" a="1"/>
  <c r="N1120" i="1"/>
  <c r="M1120" i="1"/>
  <c r="O1119" i="1"/>
  <c r="O1119" i="1" a="1"/>
  <c r="N1119" i="1"/>
  <c r="M1119" i="1"/>
  <c r="O1118" i="1"/>
  <c r="O1118" i="1" a="1"/>
  <c r="N1118" i="1"/>
  <c r="M1118" i="1"/>
  <c r="O1117" i="1"/>
  <c r="O1117" i="1" a="1"/>
  <c r="N1117" i="1"/>
  <c r="M1117" i="1"/>
  <c r="O1116" i="1"/>
  <c r="O1116" i="1" a="1"/>
  <c r="N1116" i="1"/>
  <c r="M1116" i="1"/>
  <c r="O1115" i="1"/>
  <c r="O1115" i="1" a="1"/>
  <c r="N1115" i="1"/>
  <c r="M1115" i="1"/>
  <c r="O1114" i="1"/>
  <c r="O1114" i="1" a="1"/>
  <c r="N1114" i="1"/>
  <c r="M1114" i="1"/>
  <c r="O1113" i="1"/>
  <c r="O1113" i="1" a="1"/>
  <c r="N1113" i="1"/>
  <c r="M1113" i="1"/>
  <c r="O1112" i="1"/>
  <c r="O1112" i="1" a="1"/>
  <c r="N1112" i="1"/>
  <c r="M1112" i="1"/>
  <c r="O1111" i="1"/>
  <c r="O1111" i="1" a="1"/>
  <c r="N1111" i="1"/>
  <c r="M1111" i="1"/>
  <c r="O1110" i="1"/>
  <c r="O1110" i="1" a="1"/>
  <c r="N1110" i="1"/>
  <c r="M1110" i="1"/>
  <c r="O1109" i="1"/>
  <c r="O1109" i="1" a="1"/>
  <c r="N1109" i="1"/>
  <c r="M1109" i="1"/>
  <c r="O1108" i="1"/>
  <c r="O1108" i="1" a="1"/>
  <c r="N1108" i="1"/>
  <c r="M1108" i="1"/>
  <c r="O1107" i="1"/>
  <c r="O1107" i="1" a="1"/>
  <c r="N1107" i="1"/>
  <c r="M1107" i="1"/>
  <c r="O1106" i="1"/>
  <c r="O1106" i="1" a="1"/>
  <c r="N1106" i="1"/>
  <c r="M1106" i="1"/>
  <c r="O1105" i="1"/>
  <c r="O1105" i="1" a="1"/>
  <c r="N1105" i="1"/>
  <c r="M1105" i="1"/>
  <c r="O1104" i="1"/>
  <c r="O1104" i="1" a="1"/>
  <c r="N1104" i="1"/>
  <c r="M1104" i="1"/>
  <c r="O1103" i="1"/>
  <c r="O1103" i="1" a="1"/>
  <c r="N1103" i="1"/>
  <c r="M1103" i="1"/>
  <c r="O1102" i="1"/>
  <c r="O1102" i="1" a="1"/>
  <c r="N1102" i="1"/>
  <c r="M1102" i="1"/>
  <c r="O1101" i="1"/>
  <c r="O1101" i="1" a="1"/>
  <c r="N1101" i="1"/>
  <c r="M1101" i="1"/>
  <c r="O1100" i="1"/>
  <c r="O1100" i="1" a="1"/>
  <c r="N1100" i="1"/>
  <c r="M1100" i="1"/>
  <c r="O1099" i="1"/>
  <c r="O1099" i="1" a="1"/>
  <c r="N1099" i="1"/>
  <c r="M1099" i="1"/>
  <c r="O1098" i="1"/>
  <c r="O1098" i="1" a="1"/>
  <c r="N1098" i="1"/>
  <c r="M1098" i="1"/>
  <c r="O1097" i="1"/>
  <c r="O1097" i="1" a="1"/>
  <c r="N1097" i="1"/>
  <c r="M1097" i="1"/>
  <c r="O1096" i="1"/>
  <c r="O1096" i="1" a="1"/>
  <c r="N1096" i="1"/>
  <c r="M1096" i="1"/>
  <c r="O1095" i="1"/>
  <c r="O1095" i="1" a="1"/>
  <c r="N1095" i="1"/>
  <c r="M1095" i="1"/>
  <c r="O1094" i="1"/>
  <c r="O1094" i="1" a="1"/>
  <c r="N1094" i="1"/>
  <c r="M1094" i="1"/>
  <c r="O1093" i="1"/>
  <c r="O1093" i="1" a="1"/>
  <c r="N1093" i="1"/>
  <c r="M1093" i="1"/>
  <c r="O1092" i="1"/>
  <c r="O1092" i="1" a="1"/>
  <c r="N1092" i="1"/>
  <c r="M1092" i="1"/>
  <c r="O1091" i="1"/>
  <c r="O1091" i="1" a="1"/>
  <c r="N1091" i="1"/>
  <c r="M1091" i="1"/>
  <c r="O1090" i="1"/>
  <c r="O1090" i="1" a="1"/>
  <c r="N1090" i="1"/>
  <c r="M1090" i="1"/>
  <c r="O1089" i="1"/>
  <c r="O1089" i="1" a="1"/>
  <c r="N1089" i="1"/>
  <c r="M1089" i="1"/>
  <c r="O1088" i="1"/>
  <c r="O1088" i="1" a="1"/>
  <c r="N1088" i="1"/>
  <c r="M1088" i="1"/>
  <c r="O1087" i="1"/>
  <c r="O1087" i="1" a="1"/>
  <c r="N1087" i="1"/>
  <c r="M1087" i="1"/>
  <c r="O1086" i="1"/>
  <c r="O1086" i="1" a="1"/>
  <c r="N1086" i="1"/>
  <c r="M1086" i="1"/>
  <c r="O1085" i="1"/>
  <c r="O1085" i="1" a="1"/>
  <c r="N1085" i="1"/>
  <c r="M1085" i="1"/>
  <c r="O1084" i="1"/>
  <c r="O1084" i="1" a="1"/>
  <c r="N1084" i="1"/>
  <c r="M1084" i="1"/>
  <c r="O1083" i="1"/>
  <c r="O1083" i="1" a="1"/>
  <c r="N1083" i="1"/>
  <c r="M1083" i="1"/>
  <c r="O1082" i="1"/>
  <c r="O1082" i="1" a="1"/>
  <c r="N1082" i="1"/>
  <c r="M1082" i="1"/>
  <c r="O1081" i="1"/>
  <c r="O1081" i="1" a="1"/>
  <c r="N1081" i="1"/>
  <c r="M1081" i="1"/>
  <c r="O1080" i="1"/>
  <c r="O1080" i="1" a="1"/>
  <c r="N1080" i="1"/>
  <c r="M1080" i="1"/>
  <c r="O1079" i="1"/>
  <c r="O1079" i="1" a="1"/>
  <c r="N1079" i="1"/>
  <c r="M1079" i="1"/>
  <c r="O1078" i="1"/>
  <c r="O1078" i="1" a="1"/>
  <c r="N1078" i="1"/>
  <c r="M1078" i="1"/>
  <c r="O1077" i="1"/>
  <c r="O1077" i="1" a="1"/>
  <c r="N1077" i="1"/>
  <c r="M1077" i="1"/>
  <c r="O1076" i="1"/>
  <c r="O1076" i="1" a="1"/>
  <c r="N1076" i="1"/>
  <c r="M1076" i="1"/>
  <c r="O1075" i="1"/>
  <c r="O1075" i="1" a="1"/>
  <c r="N1075" i="1"/>
  <c r="M1075" i="1"/>
  <c r="O1074" i="1"/>
  <c r="O1074" i="1" a="1"/>
  <c r="N1074" i="1"/>
  <c r="M1074" i="1"/>
  <c r="O1073" i="1"/>
  <c r="O1073" i="1" a="1"/>
  <c r="N1073" i="1"/>
  <c r="M1073" i="1"/>
  <c r="O1072" i="1"/>
  <c r="O1072" i="1" a="1"/>
  <c r="N1072" i="1"/>
  <c r="M1072" i="1"/>
  <c r="O1071" i="1"/>
  <c r="O1071" i="1" a="1"/>
  <c r="N1071" i="1"/>
  <c r="M1071" i="1"/>
  <c r="O1070" i="1"/>
  <c r="O1070" i="1" a="1"/>
  <c r="N1070" i="1"/>
  <c r="M1070" i="1"/>
  <c r="O1069" i="1"/>
  <c r="O1069" i="1" a="1"/>
  <c r="N1069" i="1"/>
  <c r="M1069" i="1"/>
  <c r="O1068" i="1"/>
  <c r="O1068" i="1" a="1"/>
  <c r="N1068" i="1"/>
  <c r="M1068" i="1"/>
  <c r="O1067" i="1"/>
  <c r="O1067" i="1" a="1"/>
  <c r="N1067" i="1"/>
  <c r="M1067" i="1"/>
  <c r="O1066" i="1"/>
  <c r="O1066" i="1" a="1"/>
  <c r="N1066" i="1"/>
  <c r="M1066" i="1"/>
  <c r="O1065" i="1"/>
  <c r="O1065" i="1" a="1"/>
  <c r="N1065" i="1"/>
  <c r="M1065" i="1"/>
  <c r="O1064" i="1"/>
  <c r="O1064" i="1" a="1"/>
  <c r="N1064" i="1"/>
  <c r="M1064" i="1"/>
  <c r="O1063" i="1"/>
  <c r="O1063" i="1" a="1"/>
  <c r="N1063" i="1"/>
  <c r="M1063" i="1"/>
  <c r="O1062" i="1"/>
  <c r="O1062" i="1" a="1"/>
  <c r="N1062" i="1"/>
  <c r="M1062" i="1"/>
  <c r="O1061" i="1"/>
  <c r="O1061" i="1" a="1"/>
  <c r="N1061" i="1"/>
  <c r="M1061" i="1"/>
  <c r="O1060" i="1"/>
  <c r="O1060" i="1" a="1"/>
  <c r="N1060" i="1"/>
  <c r="M1060" i="1"/>
  <c r="O1059" i="1"/>
  <c r="O1059" i="1" a="1"/>
  <c r="N1059" i="1"/>
  <c r="M1059" i="1"/>
  <c r="O1058" i="1"/>
  <c r="O1058" i="1" a="1"/>
  <c r="N1058" i="1"/>
  <c r="M1058" i="1"/>
  <c r="O1057" i="1"/>
  <c r="O1057" i="1" a="1"/>
  <c r="N1057" i="1"/>
  <c r="M1057" i="1"/>
  <c r="O1056" i="1"/>
  <c r="O1056" i="1" a="1"/>
  <c r="N1056" i="1"/>
  <c r="M1056" i="1"/>
  <c r="O1055" i="1"/>
  <c r="O1055" i="1" a="1"/>
  <c r="N1055" i="1"/>
  <c r="M1055" i="1"/>
  <c r="O1054" i="1"/>
  <c r="O1054" i="1" a="1"/>
  <c r="N1054" i="1"/>
  <c r="M1054" i="1"/>
  <c r="O1053" i="1"/>
  <c r="O1053" i="1" a="1"/>
  <c r="N1053" i="1"/>
  <c r="M1053" i="1"/>
  <c r="O1052" i="1"/>
  <c r="O1052" i="1" a="1"/>
  <c r="N1052" i="1"/>
  <c r="M1052" i="1"/>
  <c r="O1051" i="1"/>
  <c r="O1051" i="1" a="1"/>
  <c r="N1051" i="1"/>
  <c r="M1051" i="1"/>
  <c r="O1050" i="1"/>
  <c r="O1050" i="1" a="1"/>
  <c r="N1050" i="1"/>
  <c r="M1050" i="1"/>
  <c r="O1049" i="1"/>
  <c r="O1049" i="1" a="1"/>
  <c r="N1049" i="1"/>
  <c r="M1049" i="1"/>
  <c r="O1048" i="1"/>
  <c r="O1048" i="1" a="1"/>
  <c r="N1048" i="1"/>
  <c r="M1048" i="1"/>
  <c r="O1047" i="1"/>
  <c r="O1047" i="1" a="1"/>
  <c r="N1047" i="1"/>
  <c r="M1047" i="1"/>
  <c r="O1046" i="1"/>
  <c r="O1046" i="1" a="1"/>
  <c r="N1046" i="1"/>
  <c r="M1046" i="1"/>
  <c r="O1045" i="1"/>
  <c r="O1045" i="1" a="1"/>
  <c r="N1045" i="1"/>
  <c r="M1045" i="1"/>
  <c r="O1044" i="1"/>
  <c r="O1044" i="1" a="1"/>
  <c r="N1044" i="1"/>
  <c r="M1044" i="1"/>
  <c r="O1043" i="1"/>
  <c r="O1043" i="1" a="1"/>
  <c r="N1043" i="1"/>
  <c r="M1043" i="1"/>
  <c r="O1042" i="1"/>
  <c r="O1042" i="1" a="1"/>
  <c r="N1042" i="1"/>
  <c r="M1042" i="1"/>
  <c r="O1041" i="1"/>
  <c r="O1041" i="1" a="1"/>
  <c r="N1041" i="1"/>
  <c r="M1041" i="1"/>
  <c r="O1040" i="1"/>
  <c r="O1040" i="1" a="1"/>
  <c r="N1040" i="1"/>
  <c r="M1040" i="1"/>
  <c r="O1039" i="1"/>
  <c r="O1039" i="1" a="1"/>
  <c r="N1039" i="1"/>
  <c r="M1039" i="1"/>
  <c r="O1038" i="1"/>
  <c r="O1038" i="1" a="1"/>
  <c r="N1038" i="1"/>
  <c r="M1038" i="1"/>
  <c r="O1037" i="1"/>
  <c r="O1037" i="1" a="1"/>
  <c r="N1037" i="1"/>
  <c r="M1037" i="1"/>
  <c r="O1036" i="1"/>
  <c r="O1036" i="1" a="1"/>
  <c r="N1036" i="1"/>
  <c r="M1036" i="1"/>
  <c r="O1035" i="1"/>
  <c r="O1035" i="1" a="1"/>
  <c r="N1035" i="1"/>
  <c r="M1035" i="1"/>
  <c r="O1034" i="1"/>
  <c r="O1034" i="1" a="1"/>
  <c r="N1034" i="1"/>
  <c r="M1034" i="1"/>
  <c r="O1033" i="1"/>
  <c r="O1033" i="1" a="1"/>
  <c r="N1033" i="1"/>
  <c r="M1033" i="1"/>
  <c r="O1032" i="1"/>
  <c r="O1032" i="1" a="1"/>
  <c r="N1032" i="1"/>
  <c r="M1032" i="1"/>
  <c r="O1031" i="1"/>
  <c r="O1031" i="1" a="1"/>
  <c r="N1031" i="1"/>
  <c r="M1031" i="1"/>
  <c r="O1030" i="1"/>
  <c r="O1030" i="1" a="1"/>
  <c r="N1030" i="1"/>
  <c r="M1030" i="1"/>
  <c r="O1029" i="1"/>
  <c r="O1029" i="1" a="1"/>
  <c r="N1029" i="1"/>
  <c r="M1029" i="1"/>
  <c r="O1028" i="1"/>
  <c r="O1028" i="1" a="1"/>
  <c r="N1028" i="1"/>
  <c r="M1028" i="1"/>
  <c r="O1027" i="1"/>
  <c r="O1027" i="1" a="1"/>
  <c r="N1027" i="1"/>
  <c r="M1027" i="1"/>
  <c r="O1026" i="1"/>
  <c r="O1026" i="1" a="1"/>
  <c r="N1026" i="1"/>
  <c r="M1026" i="1"/>
  <c r="O1025" i="1"/>
  <c r="O1025" i="1" a="1"/>
  <c r="N1025" i="1"/>
  <c r="M1025" i="1"/>
  <c r="O1024" i="1"/>
  <c r="O1024" i="1" a="1"/>
  <c r="N1024" i="1"/>
  <c r="M1024" i="1"/>
  <c r="O1023" i="1"/>
  <c r="O1023" i="1" a="1"/>
  <c r="N1023" i="1"/>
  <c r="M1023" i="1"/>
  <c r="O1022" i="1"/>
  <c r="O1022" i="1" a="1"/>
  <c r="N1022" i="1"/>
  <c r="M1022" i="1"/>
  <c r="O1021" i="1"/>
  <c r="O1021" i="1" a="1"/>
  <c r="N1021" i="1"/>
  <c r="M1021" i="1"/>
  <c r="O1020" i="1"/>
  <c r="O1020" i="1" a="1"/>
  <c r="N1020" i="1"/>
  <c r="M1020" i="1"/>
  <c r="O1019" i="1"/>
  <c r="O1019" i="1" a="1"/>
  <c r="N1019" i="1"/>
  <c r="M1019" i="1"/>
  <c r="O1018" i="1"/>
  <c r="O1018" i="1" a="1"/>
  <c r="N1018" i="1"/>
  <c r="M1018" i="1"/>
  <c r="O1017" i="1"/>
  <c r="O1017" i="1" a="1"/>
  <c r="N1017" i="1"/>
  <c r="M1017" i="1"/>
  <c r="O1016" i="1"/>
  <c r="O1016" i="1" a="1"/>
  <c r="N1016" i="1"/>
  <c r="M1016" i="1"/>
  <c r="O1015" i="1"/>
  <c r="O1015" i="1" a="1"/>
  <c r="N1015" i="1"/>
  <c r="M1015" i="1"/>
  <c r="O1014" i="1"/>
  <c r="O1014" i="1" a="1"/>
  <c r="N1014" i="1"/>
  <c r="M1014" i="1"/>
  <c r="O1013" i="1"/>
  <c r="O1013" i="1" a="1"/>
  <c r="N1013" i="1"/>
  <c r="M1013" i="1"/>
  <c r="O1012" i="1"/>
  <c r="O1012" i="1" a="1"/>
  <c r="N1012" i="1"/>
  <c r="M1012" i="1"/>
  <c r="O1011" i="1"/>
  <c r="O1011" i="1" a="1"/>
  <c r="N1011" i="1"/>
  <c r="M1011" i="1"/>
  <c r="O1010" i="1"/>
  <c r="O1010" i="1" a="1"/>
  <c r="N1010" i="1"/>
  <c r="M1010" i="1"/>
  <c r="O1009" i="1"/>
  <c r="O1009" i="1" a="1"/>
  <c r="N1009" i="1"/>
  <c r="M1009" i="1"/>
  <c r="O1008" i="1"/>
  <c r="O1008" i="1" a="1"/>
  <c r="N1008" i="1"/>
  <c r="M1008" i="1"/>
  <c r="O1007" i="1"/>
  <c r="O1007" i="1" a="1"/>
  <c r="N1007" i="1"/>
  <c r="M1007" i="1"/>
  <c r="O1006" i="1"/>
  <c r="O1006" i="1" a="1"/>
  <c r="N1006" i="1"/>
  <c r="M1006" i="1"/>
  <c r="O1005" i="1"/>
  <c r="O1005" i="1" a="1"/>
  <c r="N1005" i="1"/>
  <c r="M1005" i="1"/>
  <c r="O1004" i="1"/>
  <c r="O1004" i="1" a="1"/>
  <c r="N1004" i="1"/>
  <c r="M1004" i="1"/>
  <c r="O1003" i="1"/>
  <c r="O1003" i="1" a="1"/>
  <c r="N1003" i="1"/>
  <c r="M1003" i="1"/>
  <c r="O1002" i="1"/>
  <c r="O1002" i="1" a="1"/>
  <c r="N1002" i="1"/>
  <c r="M1002" i="1"/>
  <c r="O1001" i="1"/>
  <c r="O1001" i="1" a="1"/>
  <c r="N1001" i="1"/>
  <c r="M1001" i="1"/>
  <c r="O1000" i="1"/>
  <c r="O1000" i="1" a="1"/>
  <c r="N1000" i="1"/>
  <c r="M1000" i="1"/>
  <c r="O999" i="1"/>
  <c r="O999" i="1" a="1"/>
  <c r="N999" i="1"/>
  <c r="M999" i="1"/>
  <c r="O998" i="1"/>
  <c r="O998" i="1" a="1"/>
  <c r="N998" i="1"/>
  <c r="M998" i="1"/>
  <c r="O997" i="1"/>
  <c r="O997" i="1" a="1"/>
  <c r="N997" i="1"/>
  <c r="M997" i="1"/>
  <c r="O996" i="1"/>
  <c r="O996" i="1" a="1"/>
  <c r="N996" i="1"/>
  <c r="M996" i="1"/>
  <c r="O995" i="1"/>
  <c r="O995" i="1" a="1"/>
  <c r="N995" i="1"/>
  <c r="M995" i="1"/>
  <c r="O994" i="1"/>
  <c r="O994" i="1" a="1"/>
  <c r="N994" i="1"/>
  <c r="M994" i="1"/>
  <c r="O993" i="1"/>
  <c r="O993" i="1" a="1"/>
  <c r="N993" i="1"/>
  <c r="M993" i="1"/>
  <c r="O992" i="1"/>
  <c r="O992" i="1" a="1"/>
  <c r="N992" i="1"/>
  <c r="M992" i="1"/>
  <c r="O991" i="1"/>
  <c r="O991" i="1" a="1"/>
  <c r="N991" i="1"/>
  <c r="M991" i="1"/>
  <c r="O990" i="1"/>
  <c r="O990" i="1" a="1"/>
  <c r="N990" i="1"/>
  <c r="M990" i="1"/>
  <c r="O989" i="1"/>
  <c r="O989" i="1" a="1"/>
  <c r="N989" i="1"/>
  <c r="M989" i="1"/>
  <c r="O988" i="1"/>
  <c r="O988" i="1" a="1"/>
  <c r="N988" i="1"/>
  <c r="M988" i="1"/>
  <c r="O987" i="1"/>
  <c r="O987" i="1" a="1"/>
  <c r="N987" i="1"/>
  <c r="M987" i="1"/>
  <c r="O986" i="1"/>
  <c r="O986" i="1" a="1"/>
  <c r="N986" i="1"/>
  <c r="M986" i="1"/>
  <c r="O985" i="1"/>
  <c r="O985" i="1" a="1"/>
  <c r="N985" i="1"/>
  <c r="M985" i="1"/>
  <c r="O984" i="1"/>
  <c r="O984" i="1" a="1"/>
  <c r="N984" i="1"/>
  <c r="M984" i="1"/>
  <c r="O983" i="1"/>
  <c r="O983" i="1" a="1"/>
  <c r="N983" i="1"/>
  <c r="M983" i="1"/>
  <c r="O982" i="1"/>
  <c r="O982" i="1" a="1"/>
  <c r="N982" i="1"/>
  <c r="M982" i="1"/>
  <c r="O981" i="1"/>
  <c r="O981" i="1" a="1"/>
  <c r="N981" i="1"/>
  <c r="M981" i="1"/>
  <c r="O980" i="1"/>
  <c r="O980" i="1" a="1"/>
  <c r="N980" i="1"/>
  <c r="M980" i="1"/>
  <c r="O979" i="1"/>
  <c r="O979" i="1" a="1"/>
  <c r="N979" i="1"/>
  <c r="M979" i="1"/>
  <c r="O978" i="1"/>
  <c r="O978" i="1" a="1"/>
  <c r="N978" i="1"/>
  <c r="M978" i="1"/>
  <c r="O977" i="1"/>
  <c r="O977" i="1" a="1"/>
  <c r="N977" i="1"/>
  <c r="M977" i="1"/>
  <c r="O976" i="1"/>
  <c r="O976" i="1" a="1"/>
  <c r="N976" i="1"/>
  <c r="M976" i="1"/>
  <c r="O975" i="1"/>
  <c r="O975" i="1" a="1"/>
  <c r="N975" i="1"/>
  <c r="M975" i="1"/>
  <c r="O974" i="1"/>
  <c r="O974" i="1" a="1"/>
  <c r="N974" i="1"/>
  <c r="M974" i="1"/>
  <c r="O973" i="1"/>
  <c r="O973" i="1" a="1"/>
  <c r="N973" i="1"/>
  <c r="M973" i="1"/>
  <c r="O972" i="1"/>
  <c r="O972" i="1" a="1"/>
  <c r="N972" i="1"/>
  <c r="M972" i="1"/>
  <c r="O971" i="1"/>
  <c r="O971" i="1" a="1"/>
  <c r="N971" i="1"/>
  <c r="M971" i="1"/>
  <c r="O970" i="1"/>
  <c r="O970" i="1" a="1"/>
  <c r="N970" i="1"/>
  <c r="M970" i="1"/>
  <c r="O969" i="1"/>
  <c r="O969" i="1" a="1"/>
  <c r="N969" i="1"/>
  <c r="M969" i="1"/>
  <c r="O968" i="1"/>
  <c r="O968" i="1" a="1"/>
  <c r="N968" i="1"/>
  <c r="M968" i="1"/>
  <c r="O967" i="1"/>
  <c r="O967" i="1" a="1"/>
  <c r="N967" i="1"/>
  <c r="M967" i="1"/>
  <c r="O966" i="1"/>
  <c r="O966" i="1" a="1"/>
  <c r="N966" i="1"/>
  <c r="M966" i="1"/>
  <c r="O965" i="1"/>
  <c r="O965" i="1" a="1"/>
  <c r="N965" i="1"/>
  <c r="M965" i="1"/>
  <c r="O964" i="1"/>
  <c r="O964" i="1" a="1"/>
  <c r="N964" i="1"/>
  <c r="M964" i="1"/>
  <c r="O963" i="1"/>
  <c r="O963" i="1" a="1"/>
  <c r="N963" i="1"/>
  <c r="M963" i="1"/>
  <c r="O962" i="1"/>
  <c r="O962" i="1" a="1"/>
  <c r="N962" i="1"/>
  <c r="M962" i="1"/>
  <c r="O961" i="1"/>
  <c r="O961" i="1" a="1"/>
  <c r="N961" i="1"/>
  <c r="M961" i="1"/>
  <c r="O960" i="1"/>
  <c r="O960" i="1" a="1"/>
  <c r="N960" i="1"/>
  <c r="M960" i="1"/>
  <c r="O959" i="1"/>
  <c r="O959" i="1" a="1"/>
  <c r="N959" i="1"/>
  <c r="M959" i="1"/>
  <c r="O958" i="1"/>
  <c r="O958" i="1" a="1"/>
  <c r="N958" i="1"/>
  <c r="M958" i="1"/>
  <c r="O957" i="1"/>
  <c r="O957" i="1" a="1"/>
  <c r="N957" i="1"/>
  <c r="M957" i="1"/>
  <c r="O956" i="1"/>
  <c r="O956" i="1" a="1"/>
  <c r="N956" i="1"/>
  <c r="M956" i="1"/>
  <c r="O955" i="1"/>
  <c r="O955" i="1" a="1"/>
  <c r="N955" i="1"/>
  <c r="M955" i="1"/>
  <c r="O954" i="1"/>
  <c r="O954" i="1" a="1"/>
  <c r="N954" i="1"/>
  <c r="M954" i="1"/>
  <c r="O953" i="1"/>
  <c r="O953" i="1" a="1"/>
  <c r="N953" i="1"/>
  <c r="M953" i="1"/>
  <c r="O952" i="1"/>
  <c r="O952" i="1" a="1"/>
  <c r="N952" i="1"/>
  <c r="M952" i="1"/>
  <c r="O951" i="1"/>
  <c r="O951" i="1" a="1"/>
  <c r="N951" i="1"/>
  <c r="M951" i="1"/>
  <c r="O950" i="1"/>
  <c r="O950" i="1" a="1"/>
  <c r="N950" i="1"/>
  <c r="M950" i="1"/>
  <c r="O949" i="1"/>
  <c r="O949" i="1" a="1"/>
  <c r="N949" i="1"/>
  <c r="M949" i="1"/>
  <c r="O948" i="1"/>
  <c r="O948" i="1" a="1"/>
  <c r="N948" i="1"/>
  <c r="M948" i="1"/>
  <c r="O947" i="1"/>
  <c r="O947" i="1" a="1"/>
  <c r="N947" i="1"/>
  <c r="M947" i="1"/>
  <c r="O946" i="1"/>
  <c r="O946" i="1" a="1"/>
  <c r="N946" i="1"/>
  <c r="M946" i="1"/>
  <c r="O945" i="1"/>
  <c r="O945" i="1" a="1"/>
  <c r="N945" i="1"/>
  <c r="M945" i="1"/>
  <c r="O944" i="1"/>
  <c r="O944" i="1" a="1"/>
  <c r="N944" i="1"/>
  <c r="M944" i="1"/>
  <c r="O943" i="1"/>
  <c r="O943" i="1" a="1"/>
  <c r="N943" i="1"/>
  <c r="M943" i="1"/>
  <c r="O942" i="1"/>
  <c r="O942" i="1" a="1"/>
  <c r="N942" i="1"/>
  <c r="M942" i="1"/>
  <c r="O941" i="1"/>
  <c r="O941" i="1" a="1"/>
  <c r="N941" i="1"/>
  <c r="M941" i="1"/>
  <c r="O940" i="1"/>
  <c r="O940" i="1" a="1"/>
  <c r="N940" i="1"/>
  <c r="M940" i="1"/>
  <c r="O939" i="1"/>
  <c r="O939" i="1" a="1"/>
  <c r="N939" i="1"/>
  <c r="M939" i="1"/>
  <c r="O938" i="1"/>
  <c r="O938" i="1" a="1"/>
  <c r="N938" i="1"/>
  <c r="M938" i="1"/>
  <c r="O937" i="1"/>
  <c r="O937" i="1" a="1"/>
  <c r="N937" i="1"/>
  <c r="M937" i="1"/>
  <c r="O936" i="1"/>
  <c r="O936" i="1" a="1"/>
  <c r="N936" i="1"/>
  <c r="M936" i="1"/>
  <c r="O935" i="1"/>
  <c r="O935" i="1" a="1"/>
  <c r="N935" i="1"/>
  <c r="M935" i="1"/>
  <c r="O934" i="1"/>
  <c r="O934" i="1" a="1"/>
  <c r="N934" i="1"/>
  <c r="M934" i="1"/>
  <c r="O933" i="1"/>
  <c r="O933" i="1" a="1"/>
  <c r="N933" i="1"/>
  <c r="M933" i="1"/>
  <c r="O932" i="1"/>
  <c r="O932" i="1" a="1"/>
  <c r="N932" i="1"/>
  <c r="M932" i="1"/>
  <c r="O931" i="1"/>
  <c r="O931" i="1" a="1"/>
  <c r="N931" i="1"/>
  <c r="M931" i="1"/>
  <c r="O930" i="1"/>
  <c r="O930" i="1" a="1"/>
  <c r="N930" i="1"/>
  <c r="M930" i="1"/>
  <c r="O929" i="1"/>
  <c r="O929" i="1" a="1"/>
  <c r="N929" i="1"/>
  <c r="M929" i="1"/>
  <c r="O928" i="1"/>
  <c r="O928" i="1" a="1"/>
  <c r="N928" i="1"/>
  <c r="M928" i="1"/>
  <c r="O927" i="1"/>
  <c r="O927" i="1" a="1"/>
  <c r="N927" i="1"/>
  <c r="M927" i="1"/>
  <c r="O926" i="1"/>
  <c r="O926" i="1" a="1"/>
  <c r="N926" i="1"/>
  <c r="M926" i="1"/>
  <c r="O925" i="1"/>
  <c r="O925" i="1" a="1"/>
  <c r="N925" i="1"/>
  <c r="M925" i="1"/>
  <c r="O924" i="1"/>
  <c r="O924" i="1" a="1"/>
  <c r="N924" i="1"/>
  <c r="M924" i="1"/>
  <c r="O923" i="1"/>
  <c r="O923" i="1" a="1"/>
  <c r="N923" i="1"/>
  <c r="M923" i="1"/>
  <c r="O922" i="1"/>
  <c r="O922" i="1" a="1"/>
  <c r="N922" i="1"/>
  <c r="M922" i="1"/>
  <c r="O921" i="1"/>
  <c r="O921" i="1" a="1"/>
  <c r="N921" i="1"/>
  <c r="M921" i="1"/>
  <c r="O920" i="1"/>
  <c r="O920" i="1" a="1"/>
  <c r="N920" i="1"/>
  <c r="M920" i="1"/>
  <c r="O919" i="1"/>
  <c r="O919" i="1" a="1"/>
  <c r="N919" i="1"/>
  <c r="M919" i="1"/>
  <c r="O918" i="1"/>
  <c r="O918" i="1" a="1"/>
  <c r="N918" i="1"/>
  <c r="M918" i="1"/>
  <c r="O917" i="1"/>
  <c r="O917" i="1" a="1"/>
  <c r="N917" i="1"/>
  <c r="M917" i="1"/>
  <c r="O916" i="1"/>
  <c r="O916" i="1" a="1"/>
  <c r="N916" i="1"/>
  <c r="M916" i="1"/>
  <c r="O915" i="1"/>
  <c r="O915" i="1" a="1"/>
  <c r="N915" i="1"/>
  <c r="M915" i="1"/>
  <c r="O914" i="1"/>
  <c r="O914" i="1" a="1"/>
  <c r="N914" i="1"/>
  <c r="M914" i="1"/>
  <c r="O913" i="1"/>
  <c r="O913" i="1" a="1"/>
  <c r="N913" i="1"/>
  <c r="M913" i="1"/>
  <c r="O912" i="1"/>
  <c r="O912" i="1" a="1"/>
  <c r="N912" i="1"/>
  <c r="M912" i="1"/>
  <c r="O911" i="1"/>
  <c r="O911" i="1" a="1"/>
  <c r="N911" i="1"/>
  <c r="M911" i="1"/>
  <c r="O910" i="1"/>
  <c r="O910" i="1" a="1"/>
  <c r="N910" i="1"/>
  <c r="M910" i="1"/>
  <c r="O909" i="1"/>
  <c r="O909" i="1" a="1"/>
  <c r="N909" i="1"/>
  <c r="M909" i="1"/>
  <c r="O908" i="1"/>
  <c r="O908" i="1" a="1"/>
  <c r="N908" i="1"/>
  <c r="M908" i="1"/>
  <c r="O907" i="1"/>
  <c r="O907" i="1" a="1"/>
  <c r="N907" i="1"/>
  <c r="M907" i="1"/>
  <c r="O906" i="1"/>
  <c r="O906" i="1" a="1"/>
  <c r="N906" i="1"/>
  <c r="M906" i="1"/>
  <c r="O905" i="1"/>
  <c r="O905" i="1" a="1"/>
  <c r="N905" i="1"/>
  <c r="M905" i="1"/>
  <c r="O904" i="1"/>
  <c r="O904" i="1" a="1"/>
  <c r="N904" i="1"/>
  <c r="M904" i="1"/>
  <c r="O903" i="1"/>
  <c r="O903" i="1" a="1"/>
  <c r="N903" i="1"/>
  <c r="M903" i="1"/>
  <c r="O902" i="1"/>
  <c r="O902" i="1" a="1"/>
  <c r="N902" i="1"/>
  <c r="M902" i="1"/>
  <c r="O901" i="1"/>
  <c r="O901" i="1" a="1"/>
  <c r="N901" i="1"/>
  <c r="M901" i="1"/>
  <c r="O900" i="1"/>
  <c r="O900" i="1" a="1"/>
  <c r="N900" i="1"/>
  <c r="M900" i="1"/>
  <c r="O899" i="1"/>
  <c r="O899" i="1" a="1"/>
  <c r="N899" i="1"/>
  <c r="M899" i="1"/>
  <c r="O898" i="1"/>
  <c r="O898" i="1" a="1"/>
  <c r="N898" i="1"/>
  <c r="M898" i="1"/>
  <c r="O897" i="1"/>
  <c r="O897" i="1" a="1"/>
  <c r="N897" i="1"/>
  <c r="M897" i="1"/>
  <c r="O896" i="1"/>
  <c r="O896" i="1" a="1"/>
  <c r="N896" i="1"/>
  <c r="M896" i="1"/>
  <c r="O895" i="1"/>
  <c r="O895" i="1" a="1"/>
  <c r="N895" i="1"/>
  <c r="M895" i="1"/>
  <c r="O894" i="1"/>
  <c r="O894" i="1" a="1"/>
  <c r="N894" i="1"/>
  <c r="M894" i="1"/>
  <c r="O893" i="1"/>
  <c r="O893" i="1" a="1"/>
  <c r="N893" i="1"/>
  <c r="M893" i="1"/>
  <c r="O892" i="1"/>
  <c r="O892" i="1" a="1"/>
  <c r="N892" i="1"/>
  <c r="M892" i="1"/>
  <c r="O891" i="1"/>
  <c r="O891" i="1" a="1"/>
  <c r="N891" i="1"/>
  <c r="M891" i="1"/>
  <c r="O890" i="1"/>
  <c r="O890" i="1" a="1"/>
  <c r="N890" i="1"/>
  <c r="M890" i="1"/>
  <c r="O889" i="1"/>
  <c r="O889" i="1" a="1"/>
  <c r="N889" i="1"/>
  <c r="M889" i="1"/>
  <c r="O888" i="1"/>
  <c r="O888" i="1" a="1"/>
  <c r="N888" i="1"/>
  <c r="M888" i="1"/>
  <c r="O887" i="1"/>
  <c r="O887" i="1" a="1"/>
  <c r="N887" i="1"/>
  <c r="M887" i="1"/>
  <c r="O886" i="1"/>
  <c r="O886" i="1" a="1"/>
  <c r="N886" i="1"/>
  <c r="M886" i="1"/>
  <c r="O885" i="1"/>
  <c r="O885" i="1" a="1"/>
  <c r="N885" i="1"/>
  <c r="M885" i="1"/>
  <c r="O884" i="1"/>
  <c r="O884" i="1" a="1"/>
  <c r="N884" i="1"/>
  <c r="M884" i="1"/>
  <c r="O883" i="1"/>
  <c r="O883" i="1" a="1"/>
  <c r="N883" i="1"/>
  <c r="M883" i="1"/>
  <c r="O882" i="1"/>
  <c r="O882" i="1" a="1"/>
  <c r="N882" i="1"/>
  <c r="M882" i="1"/>
  <c r="O881" i="1"/>
  <c r="O881" i="1" a="1"/>
  <c r="N881" i="1"/>
  <c r="M881" i="1"/>
  <c r="O880" i="1"/>
  <c r="O880" i="1" a="1"/>
  <c r="N880" i="1"/>
  <c r="M880" i="1"/>
  <c r="O879" i="1"/>
  <c r="O879" i="1" a="1"/>
  <c r="N879" i="1"/>
  <c r="M879" i="1"/>
  <c r="O878" i="1"/>
  <c r="O878" i="1" a="1"/>
  <c r="N878" i="1"/>
  <c r="M878" i="1"/>
  <c r="O877" i="1"/>
  <c r="O877" i="1" a="1"/>
  <c r="N877" i="1"/>
  <c r="M877" i="1"/>
  <c r="O876" i="1"/>
  <c r="O876" i="1" a="1"/>
  <c r="N876" i="1"/>
  <c r="M876" i="1"/>
  <c r="O875" i="1"/>
  <c r="O875" i="1" a="1"/>
  <c r="N875" i="1"/>
  <c r="M875" i="1"/>
  <c r="O874" i="1"/>
  <c r="O874" i="1" a="1"/>
  <c r="N874" i="1"/>
  <c r="M874" i="1"/>
  <c r="O873" i="1"/>
  <c r="O873" i="1" a="1"/>
  <c r="N873" i="1"/>
  <c r="M873" i="1"/>
  <c r="O872" i="1"/>
  <c r="O872" i="1" a="1"/>
  <c r="N872" i="1"/>
  <c r="M872" i="1"/>
  <c r="O871" i="1"/>
  <c r="O871" i="1" a="1"/>
  <c r="N871" i="1"/>
  <c r="M871" i="1"/>
  <c r="O870" i="1"/>
  <c r="O870" i="1" a="1"/>
  <c r="N870" i="1"/>
  <c r="M870" i="1"/>
  <c r="O869" i="1"/>
  <c r="O869" i="1" a="1"/>
  <c r="N869" i="1"/>
  <c r="M869" i="1"/>
  <c r="O868" i="1"/>
  <c r="O868" i="1" a="1"/>
  <c r="N868" i="1"/>
  <c r="M868" i="1"/>
  <c r="O867" i="1"/>
  <c r="O867" i="1" a="1"/>
  <c r="N867" i="1"/>
  <c r="M867" i="1"/>
  <c r="O866" i="1"/>
  <c r="O866" i="1" a="1"/>
  <c r="N866" i="1"/>
  <c r="M866" i="1"/>
  <c r="O865" i="1"/>
  <c r="O865" i="1" a="1"/>
  <c r="N865" i="1"/>
  <c r="M865" i="1"/>
  <c r="O864" i="1"/>
  <c r="O864" i="1" a="1"/>
  <c r="N864" i="1"/>
  <c r="M864" i="1"/>
  <c r="O863" i="1"/>
  <c r="O863" i="1" a="1"/>
  <c r="N863" i="1"/>
  <c r="M863" i="1"/>
  <c r="O862" i="1"/>
  <c r="O862" i="1" a="1"/>
  <c r="N862" i="1"/>
  <c r="M862" i="1"/>
  <c r="O861" i="1"/>
  <c r="O861" i="1" a="1"/>
  <c r="N861" i="1"/>
  <c r="M861" i="1"/>
  <c r="O860" i="1"/>
  <c r="O860" i="1" a="1"/>
  <c r="N860" i="1"/>
  <c r="M860" i="1"/>
  <c r="O859" i="1"/>
  <c r="O859" i="1" a="1"/>
  <c r="N859" i="1"/>
  <c r="M859" i="1"/>
  <c r="O858" i="1"/>
  <c r="O858" i="1" a="1"/>
  <c r="N858" i="1"/>
  <c r="M858" i="1"/>
  <c r="O857" i="1"/>
  <c r="O857" i="1" a="1"/>
  <c r="N857" i="1"/>
  <c r="M857" i="1"/>
  <c r="O856" i="1"/>
  <c r="O856" i="1" a="1"/>
  <c r="N856" i="1"/>
  <c r="M856" i="1"/>
  <c r="O855" i="1"/>
  <c r="O855" i="1" a="1"/>
  <c r="N855" i="1"/>
  <c r="M855" i="1"/>
  <c r="O854" i="1"/>
  <c r="O854" i="1" a="1"/>
  <c r="N854" i="1"/>
  <c r="M854" i="1"/>
  <c r="O853" i="1"/>
  <c r="O853" i="1" a="1"/>
  <c r="N853" i="1"/>
  <c r="M853" i="1"/>
  <c r="O852" i="1"/>
  <c r="O852" i="1" a="1"/>
  <c r="N852" i="1"/>
  <c r="M852" i="1"/>
  <c r="O851" i="1"/>
  <c r="O851" i="1" a="1"/>
  <c r="N851" i="1"/>
  <c r="M851" i="1"/>
  <c r="O850" i="1"/>
  <c r="O850" i="1" a="1"/>
  <c r="N850" i="1"/>
  <c r="M850" i="1"/>
  <c r="O849" i="1"/>
  <c r="O849" i="1" a="1"/>
  <c r="N849" i="1"/>
  <c r="M849" i="1"/>
  <c r="O848" i="1"/>
  <c r="O848" i="1" a="1"/>
  <c r="N848" i="1"/>
  <c r="M848" i="1"/>
  <c r="O847" i="1"/>
  <c r="O847" i="1" a="1"/>
  <c r="N847" i="1"/>
  <c r="M847" i="1"/>
  <c r="O846" i="1"/>
  <c r="O846" i="1" a="1"/>
  <c r="N846" i="1"/>
  <c r="M846" i="1"/>
  <c r="O845" i="1"/>
  <c r="O845" i="1" a="1"/>
  <c r="N845" i="1"/>
  <c r="M845" i="1"/>
  <c r="O844" i="1"/>
  <c r="O844" i="1" a="1"/>
  <c r="N844" i="1"/>
  <c r="M844" i="1"/>
  <c r="O843" i="1"/>
  <c r="O843" i="1" a="1"/>
  <c r="N843" i="1"/>
  <c r="M843" i="1"/>
  <c r="O842" i="1"/>
  <c r="O842" i="1" a="1"/>
  <c r="N842" i="1"/>
  <c r="M842" i="1"/>
  <c r="O841" i="1"/>
  <c r="O841" i="1" a="1"/>
  <c r="N841" i="1"/>
  <c r="M841" i="1"/>
  <c r="O840" i="1"/>
  <c r="O840" i="1" a="1"/>
  <c r="N840" i="1"/>
  <c r="M840" i="1"/>
  <c r="O839" i="1"/>
  <c r="O839" i="1" a="1"/>
  <c r="N839" i="1"/>
  <c r="M839" i="1"/>
  <c r="O838" i="1"/>
  <c r="O838" i="1" a="1"/>
  <c r="N838" i="1"/>
  <c r="M838" i="1"/>
  <c r="O837" i="1"/>
  <c r="O837" i="1" a="1"/>
  <c r="N837" i="1"/>
  <c r="M837" i="1"/>
  <c r="O836" i="1"/>
  <c r="O836" i="1" a="1"/>
  <c r="N836" i="1"/>
  <c r="M836" i="1"/>
  <c r="O835" i="1"/>
  <c r="O835" i="1" a="1"/>
  <c r="N835" i="1"/>
  <c r="M835" i="1"/>
  <c r="O834" i="1"/>
  <c r="O834" i="1" a="1"/>
  <c r="N834" i="1"/>
  <c r="M834" i="1"/>
  <c r="O833" i="1"/>
  <c r="O833" i="1" a="1"/>
  <c r="N833" i="1"/>
  <c r="M833" i="1"/>
  <c r="O832" i="1"/>
  <c r="O832" i="1" a="1"/>
  <c r="N832" i="1"/>
  <c r="M832" i="1"/>
  <c r="O831" i="1"/>
  <c r="O831" i="1" a="1"/>
  <c r="N831" i="1"/>
  <c r="M831" i="1"/>
  <c r="O830" i="1"/>
  <c r="O830" i="1" a="1"/>
  <c r="N830" i="1"/>
  <c r="M830" i="1"/>
  <c r="O829" i="1"/>
  <c r="O829" i="1" a="1"/>
  <c r="N829" i="1"/>
  <c r="M829" i="1"/>
  <c r="O828" i="1"/>
  <c r="O828" i="1" a="1"/>
  <c r="N828" i="1"/>
  <c r="M828" i="1"/>
  <c r="O827" i="1"/>
  <c r="O827" i="1" a="1"/>
  <c r="N827" i="1"/>
  <c r="M827" i="1"/>
  <c r="O826" i="1"/>
  <c r="O826" i="1" a="1"/>
  <c r="N826" i="1"/>
  <c r="M826" i="1"/>
  <c r="O825" i="1"/>
  <c r="O825" i="1" a="1"/>
  <c r="N825" i="1"/>
  <c r="M825" i="1"/>
  <c r="O824" i="1"/>
  <c r="O824" i="1" a="1"/>
  <c r="N824" i="1"/>
  <c r="M824" i="1"/>
  <c r="O823" i="1"/>
  <c r="O823" i="1" a="1"/>
  <c r="N823" i="1"/>
  <c r="M823" i="1"/>
  <c r="O822" i="1"/>
  <c r="O822" i="1" a="1"/>
  <c r="N822" i="1"/>
  <c r="M822" i="1"/>
  <c r="O821" i="1"/>
  <c r="O821" i="1" a="1"/>
  <c r="N821" i="1"/>
  <c r="M821" i="1"/>
  <c r="O820" i="1"/>
  <c r="O820" i="1" a="1"/>
  <c r="N820" i="1"/>
  <c r="M820" i="1"/>
  <c r="O819" i="1"/>
  <c r="O819" i="1" a="1"/>
  <c r="N819" i="1"/>
  <c r="M819" i="1"/>
  <c r="O818" i="1"/>
  <c r="O818" i="1" a="1"/>
  <c r="N818" i="1"/>
  <c r="M818" i="1"/>
  <c r="O817" i="1"/>
  <c r="O817" i="1" a="1"/>
  <c r="N817" i="1"/>
  <c r="M817" i="1"/>
  <c r="O816" i="1"/>
  <c r="O816" i="1" a="1"/>
  <c r="N816" i="1"/>
  <c r="M816" i="1"/>
  <c r="O815" i="1"/>
  <c r="O815" i="1" a="1"/>
  <c r="N815" i="1"/>
  <c r="M815" i="1"/>
  <c r="O814" i="1"/>
  <c r="O814" i="1" a="1"/>
  <c r="N814" i="1"/>
  <c r="M814" i="1"/>
  <c r="O813" i="1"/>
  <c r="O813" i="1" a="1"/>
  <c r="N813" i="1"/>
  <c r="M813" i="1"/>
  <c r="O812" i="1"/>
  <c r="O812" i="1" a="1"/>
  <c r="N812" i="1"/>
  <c r="M812" i="1"/>
  <c r="O811" i="1"/>
  <c r="O811" i="1" a="1"/>
  <c r="N811" i="1"/>
  <c r="M811" i="1"/>
  <c r="O810" i="1"/>
  <c r="O810" i="1" a="1"/>
  <c r="N810" i="1"/>
  <c r="M810" i="1"/>
  <c r="O809" i="1"/>
  <c r="O809" i="1" a="1"/>
  <c r="N809" i="1"/>
  <c r="M809" i="1"/>
  <c r="O808" i="1"/>
  <c r="O808" i="1" a="1"/>
  <c r="N808" i="1"/>
  <c r="M808" i="1"/>
  <c r="O807" i="1"/>
  <c r="O807" i="1" a="1"/>
  <c r="N807" i="1"/>
  <c r="M807" i="1"/>
  <c r="O806" i="1"/>
  <c r="O806" i="1" a="1"/>
  <c r="N806" i="1"/>
  <c r="M806" i="1"/>
  <c r="O805" i="1"/>
  <c r="O805" i="1" a="1"/>
  <c r="N805" i="1"/>
  <c r="M805" i="1"/>
  <c r="O804" i="1"/>
  <c r="O804" i="1" a="1"/>
  <c r="N804" i="1"/>
  <c r="M804" i="1"/>
  <c r="O803" i="1"/>
  <c r="O803" i="1" a="1"/>
  <c r="N803" i="1"/>
  <c r="M803" i="1"/>
  <c r="O802" i="1"/>
  <c r="O802" i="1" a="1"/>
  <c r="N802" i="1"/>
  <c r="M802" i="1"/>
  <c r="O801" i="1"/>
  <c r="O801" i="1" a="1"/>
  <c r="N801" i="1"/>
  <c r="M801" i="1"/>
  <c r="O800" i="1"/>
  <c r="O800" i="1" a="1"/>
  <c r="N800" i="1"/>
  <c r="M800" i="1"/>
  <c r="O799" i="1"/>
  <c r="O799" i="1" a="1"/>
  <c r="N799" i="1"/>
  <c r="M799" i="1"/>
  <c r="O798" i="1"/>
  <c r="O798" i="1" a="1"/>
  <c r="N798" i="1"/>
  <c r="M798" i="1"/>
  <c r="O797" i="1"/>
  <c r="O797" i="1" a="1"/>
  <c r="N797" i="1"/>
  <c r="M797" i="1"/>
  <c r="O796" i="1"/>
  <c r="O796" i="1" a="1"/>
  <c r="N796" i="1"/>
  <c r="M796" i="1"/>
  <c r="O795" i="1"/>
  <c r="O795" i="1" a="1"/>
  <c r="N795" i="1"/>
  <c r="M795" i="1"/>
  <c r="O794" i="1"/>
  <c r="O794" i="1" a="1"/>
  <c r="N794" i="1"/>
  <c r="M794" i="1"/>
  <c r="O793" i="1"/>
  <c r="O793" i="1" a="1"/>
  <c r="N793" i="1"/>
  <c r="M793" i="1"/>
  <c r="O792" i="1"/>
  <c r="O792" i="1" a="1"/>
  <c r="N792" i="1"/>
  <c r="M792" i="1"/>
  <c r="O791" i="1"/>
  <c r="O791" i="1" a="1"/>
  <c r="N791" i="1"/>
  <c r="M791" i="1"/>
  <c r="O790" i="1"/>
  <c r="O790" i="1" a="1"/>
  <c r="N790" i="1"/>
  <c r="M790" i="1"/>
  <c r="O789" i="1"/>
  <c r="O789" i="1" a="1"/>
  <c r="N789" i="1"/>
  <c r="M789" i="1"/>
  <c r="O788" i="1"/>
  <c r="O788" i="1" a="1"/>
  <c r="N788" i="1"/>
  <c r="M788" i="1"/>
  <c r="O787" i="1"/>
  <c r="O787" i="1" a="1"/>
  <c r="N787" i="1"/>
  <c r="M787" i="1"/>
  <c r="O786" i="1"/>
  <c r="O786" i="1" a="1"/>
  <c r="N786" i="1"/>
  <c r="M786" i="1"/>
  <c r="O785" i="1"/>
  <c r="O785" i="1" a="1"/>
  <c r="N785" i="1"/>
  <c r="M785" i="1"/>
  <c r="O784" i="1"/>
  <c r="O784" i="1" a="1"/>
  <c r="N784" i="1"/>
  <c r="M784" i="1"/>
  <c r="O783" i="1"/>
  <c r="O783" i="1" a="1"/>
  <c r="N783" i="1"/>
  <c r="M783" i="1"/>
  <c r="O782" i="1"/>
  <c r="O782" i="1" a="1"/>
  <c r="N782" i="1"/>
  <c r="M782" i="1"/>
  <c r="O781" i="1"/>
  <c r="O781" i="1" a="1"/>
  <c r="N781" i="1"/>
  <c r="M781" i="1"/>
  <c r="O780" i="1"/>
  <c r="O780" i="1" a="1"/>
  <c r="N780" i="1"/>
  <c r="M780" i="1"/>
  <c r="O779" i="1"/>
  <c r="O779" i="1" a="1"/>
  <c r="N779" i="1"/>
  <c r="M779" i="1"/>
  <c r="O778" i="1"/>
  <c r="O778" i="1" a="1"/>
  <c r="N778" i="1"/>
  <c r="M778" i="1"/>
  <c r="O777" i="1"/>
  <c r="O777" i="1" a="1"/>
  <c r="N777" i="1"/>
  <c r="M777" i="1"/>
  <c r="O776" i="1"/>
  <c r="O776" i="1" a="1"/>
  <c r="N776" i="1"/>
  <c r="M776" i="1"/>
  <c r="O775" i="1"/>
  <c r="O775" i="1" a="1"/>
  <c r="N775" i="1"/>
  <c r="M775" i="1"/>
  <c r="O774" i="1"/>
  <c r="O774" i="1" a="1"/>
  <c r="N774" i="1"/>
  <c r="M774" i="1"/>
  <c r="O773" i="1"/>
  <c r="O773" i="1" a="1"/>
  <c r="N773" i="1"/>
  <c r="M773" i="1"/>
  <c r="O772" i="1"/>
  <c r="O772" i="1" a="1"/>
  <c r="N772" i="1"/>
  <c r="M772" i="1"/>
  <c r="O771" i="1"/>
  <c r="O771" i="1" a="1"/>
  <c r="N771" i="1"/>
  <c r="M771" i="1"/>
  <c r="O770" i="1"/>
  <c r="O770" i="1" a="1"/>
  <c r="N770" i="1"/>
  <c r="M770" i="1"/>
  <c r="O769" i="1"/>
  <c r="O769" i="1" a="1"/>
  <c r="N769" i="1"/>
  <c r="M769" i="1"/>
  <c r="O768" i="1"/>
  <c r="O768" i="1" a="1"/>
  <c r="N768" i="1"/>
  <c r="M768" i="1"/>
  <c r="O767" i="1"/>
  <c r="O767" i="1" a="1"/>
  <c r="N767" i="1"/>
  <c r="M767" i="1"/>
  <c r="O766" i="1"/>
  <c r="O766" i="1" a="1"/>
  <c r="N766" i="1"/>
  <c r="M766" i="1"/>
  <c r="O765" i="1"/>
  <c r="O765" i="1" a="1"/>
  <c r="N765" i="1"/>
  <c r="M765" i="1"/>
  <c r="O764" i="1"/>
  <c r="O764" i="1" a="1"/>
  <c r="N764" i="1"/>
  <c r="M764" i="1"/>
  <c r="O763" i="1"/>
  <c r="O763" i="1" a="1"/>
  <c r="N763" i="1"/>
  <c r="M763" i="1"/>
  <c r="O762" i="1"/>
  <c r="O762" i="1" a="1"/>
  <c r="N762" i="1"/>
  <c r="M762" i="1"/>
  <c r="O761" i="1"/>
  <c r="O761" i="1" a="1"/>
  <c r="N761" i="1"/>
  <c r="M761" i="1"/>
  <c r="O760" i="1"/>
  <c r="O760" i="1" a="1"/>
  <c r="N760" i="1"/>
  <c r="M760" i="1"/>
  <c r="O759" i="1"/>
  <c r="O759" i="1" a="1"/>
  <c r="N759" i="1"/>
  <c r="M759" i="1"/>
  <c r="O758" i="1"/>
  <c r="O758" i="1" a="1"/>
  <c r="N758" i="1"/>
  <c r="M758" i="1"/>
  <c r="O757" i="1"/>
  <c r="O757" i="1" a="1"/>
  <c r="N757" i="1"/>
  <c r="M757" i="1"/>
  <c r="O756" i="1"/>
  <c r="O756" i="1" a="1"/>
  <c r="N756" i="1"/>
  <c r="M756" i="1"/>
  <c r="O755" i="1"/>
  <c r="O755" i="1" a="1"/>
  <c r="N755" i="1"/>
  <c r="M755" i="1"/>
  <c r="O754" i="1"/>
  <c r="O754" i="1" a="1"/>
  <c r="N754" i="1"/>
  <c r="M754" i="1"/>
  <c r="O753" i="1"/>
  <c r="O753" i="1" a="1"/>
  <c r="N753" i="1"/>
  <c r="M753" i="1"/>
  <c r="O752" i="1"/>
  <c r="O752" i="1" a="1"/>
  <c r="N752" i="1"/>
  <c r="M752" i="1"/>
  <c r="O751" i="1"/>
  <c r="O751" i="1" a="1"/>
  <c r="N751" i="1"/>
  <c r="M751" i="1"/>
  <c r="O750" i="1"/>
  <c r="O750" i="1" a="1"/>
  <c r="N750" i="1"/>
  <c r="M750" i="1"/>
  <c r="O749" i="1"/>
  <c r="O749" i="1" a="1"/>
  <c r="N749" i="1"/>
  <c r="M749" i="1"/>
  <c r="O748" i="1"/>
  <c r="O748" i="1" a="1"/>
  <c r="N748" i="1"/>
  <c r="M748" i="1"/>
  <c r="O747" i="1"/>
  <c r="O747" i="1" a="1"/>
  <c r="N747" i="1"/>
  <c r="M747" i="1"/>
  <c r="O746" i="1"/>
  <c r="O746" i="1" a="1"/>
  <c r="N746" i="1"/>
  <c r="M746" i="1"/>
  <c r="O745" i="1"/>
  <c r="O745" i="1" a="1"/>
  <c r="N745" i="1"/>
  <c r="M745" i="1"/>
  <c r="O744" i="1"/>
  <c r="O744" i="1" a="1"/>
  <c r="N744" i="1"/>
  <c r="M744" i="1"/>
  <c r="O743" i="1"/>
  <c r="O743" i="1" a="1"/>
  <c r="N743" i="1"/>
  <c r="M743" i="1"/>
  <c r="O742" i="1"/>
  <c r="O742" i="1" a="1"/>
  <c r="N742" i="1"/>
  <c r="M742" i="1"/>
  <c r="O741" i="1"/>
  <c r="O741" i="1" a="1"/>
  <c r="N741" i="1"/>
  <c r="M741" i="1"/>
  <c r="O740" i="1"/>
  <c r="O740" i="1" a="1"/>
  <c r="N740" i="1"/>
  <c r="M740" i="1"/>
  <c r="O739" i="1"/>
  <c r="O739" i="1" a="1"/>
  <c r="N739" i="1"/>
  <c r="M739" i="1"/>
  <c r="O738" i="1"/>
  <c r="O738" i="1" a="1"/>
  <c r="N738" i="1"/>
  <c r="M738" i="1"/>
  <c r="O737" i="1"/>
  <c r="O737" i="1" a="1"/>
  <c r="N737" i="1"/>
  <c r="M737" i="1"/>
  <c r="O736" i="1"/>
  <c r="O736" i="1" a="1"/>
  <c r="N736" i="1"/>
  <c r="M736" i="1"/>
  <c r="O735" i="1"/>
  <c r="O735" i="1" a="1"/>
  <c r="N735" i="1"/>
  <c r="M735" i="1"/>
  <c r="O734" i="1"/>
  <c r="O734" i="1" a="1"/>
  <c r="N734" i="1"/>
  <c r="M734" i="1"/>
  <c r="O733" i="1"/>
  <c r="O733" i="1" a="1"/>
  <c r="N733" i="1"/>
  <c r="M733" i="1"/>
  <c r="O732" i="1"/>
  <c r="O732" i="1" a="1"/>
  <c r="N732" i="1"/>
  <c r="M732" i="1"/>
  <c r="O731" i="1"/>
  <c r="O731" i="1" a="1"/>
  <c r="N731" i="1"/>
  <c r="M731" i="1"/>
  <c r="O730" i="1"/>
  <c r="O730" i="1" a="1"/>
  <c r="N730" i="1"/>
  <c r="M730" i="1"/>
  <c r="O729" i="1"/>
  <c r="O729" i="1" a="1"/>
  <c r="N729" i="1"/>
  <c r="M729" i="1"/>
  <c r="O728" i="1"/>
  <c r="O728" i="1" a="1"/>
  <c r="N728" i="1"/>
  <c r="M728" i="1"/>
  <c r="O727" i="1"/>
  <c r="O727" i="1" a="1"/>
  <c r="N727" i="1"/>
  <c r="M727" i="1"/>
  <c r="O726" i="1"/>
  <c r="O726" i="1" a="1"/>
  <c r="N726" i="1"/>
  <c r="M726" i="1"/>
  <c r="O725" i="1"/>
  <c r="O725" i="1" a="1"/>
  <c r="N725" i="1"/>
  <c r="M725" i="1"/>
  <c r="O724" i="1"/>
  <c r="O724" i="1" a="1"/>
  <c r="N724" i="1"/>
  <c r="M724" i="1"/>
  <c r="O723" i="1"/>
  <c r="O723" i="1" a="1"/>
  <c r="N723" i="1"/>
  <c r="M723" i="1"/>
  <c r="O722" i="1"/>
  <c r="O722" i="1" a="1"/>
  <c r="N722" i="1"/>
  <c r="M722" i="1"/>
  <c r="O721" i="1"/>
  <c r="O721" i="1" a="1"/>
  <c r="N721" i="1"/>
  <c r="M721" i="1"/>
  <c r="O720" i="1"/>
  <c r="O720" i="1" a="1"/>
  <c r="N720" i="1"/>
  <c r="M720" i="1"/>
  <c r="O719" i="1"/>
  <c r="O719" i="1" a="1"/>
  <c r="N719" i="1"/>
  <c r="M719" i="1"/>
  <c r="O718" i="1"/>
  <c r="O718" i="1" a="1"/>
  <c r="N718" i="1"/>
  <c r="M718" i="1"/>
  <c r="O717" i="1"/>
  <c r="O717" i="1" a="1"/>
  <c r="N717" i="1"/>
  <c r="M717" i="1"/>
  <c r="O716" i="1"/>
  <c r="O716" i="1" a="1"/>
  <c r="N716" i="1"/>
  <c r="M716" i="1"/>
  <c r="O715" i="1"/>
  <c r="O715" i="1" a="1"/>
  <c r="N715" i="1"/>
  <c r="M715" i="1"/>
  <c r="O714" i="1"/>
  <c r="O714" i="1" a="1"/>
  <c r="N714" i="1"/>
  <c r="M714" i="1"/>
  <c r="O713" i="1"/>
  <c r="O713" i="1" a="1"/>
  <c r="N713" i="1"/>
  <c r="M713" i="1"/>
  <c r="O712" i="1"/>
  <c r="O712" i="1" a="1"/>
  <c r="N712" i="1"/>
  <c r="M712" i="1"/>
  <c r="O711" i="1"/>
  <c r="O711" i="1" a="1"/>
  <c r="N711" i="1"/>
  <c r="M711" i="1"/>
  <c r="O710" i="1"/>
  <c r="O710" i="1" a="1"/>
  <c r="N710" i="1"/>
  <c r="M710" i="1"/>
  <c r="O709" i="1"/>
  <c r="O709" i="1" a="1"/>
  <c r="N709" i="1"/>
  <c r="M709" i="1"/>
  <c r="O708" i="1"/>
  <c r="O708" i="1" a="1"/>
  <c r="N708" i="1"/>
  <c r="M708" i="1"/>
  <c r="O707" i="1"/>
  <c r="O707" i="1" a="1"/>
  <c r="N707" i="1"/>
  <c r="M707" i="1"/>
  <c r="O706" i="1"/>
  <c r="O706" i="1" a="1"/>
  <c r="N706" i="1"/>
  <c r="M706" i="1"/>
  <c r="O705" i="1"/>
  <c r="O705" i="1" a="1"/>
  <c r="N705" i="1"/>
  <c r="M705" i="1"/>
  <c r="O704" i="1"/>
  <c r="O704" i="1" a="1"/>
  <c r="N704" i="1"/>
  <c r="M704" i="1"/>
  <c r="O703" i="1"/>
  <c r="O703" i="1" a="1"/>
  <c r="N703" i="1"/>
  <c r="M703" i="1"/>
  <c r="O702" i="1"/>
  <c r="O702" i="1" a="1"/>
  <c r="N702" i="1"/>
  <c r="M702" i="1"/>
  <c r="O701" i="1"/>
  <c r="O701" i="1" a="1"/>
  <c r="N701" i="1"/>
  <c r="M701" i="1"/>
  <c r="O700" i="1"/>
  <c r="O700" i="1" a="1"/>
  <c r="N700" i="1"/>
  <c r="M700" i="1"/>
  <c r="O699" i="1"/>
  <c r="O699" i="1" a="1"/>
  <c r="N699" i="1"/>
  <c r="M699" i="1"/>
  <c r="O698" i="1"/>
  <c r="O698" i="1" a="1"/>
  <c r="N698" i="1"/>
  <c r="M698" i="1"/>
  <c r="O697" i="1"/>
  <c r="O697" i="1" a="1"/>
  <c r="N697" i="1"/>
  <c r="M697" i="1"/>
  <c r="O696" i="1"/>
  <c r="O696" i="1" a="1"/>
  <c r="N696" i="1"/>
  <c r="M696" i="1"/>
  <c r="O695" i="1"/>
  <c r="O695" i="1" a="1"/>
  <c r="N695" i="1"/>
  <c r="M695" i="1"/>
  <c r="O694" i="1"/>
  <c r="O694" i="1" a="1"/>
  <c r="N694" i="1"/>
  <c r="M694" i="1"/>
  <c r="O693" i="1"/>
  <c r="O693" i="1" a="1"/>
  <c r="N693" i="1"/>
  <c r="M693" i="1"/>
  <c r="O692" i="1"/>
  <c r="O692" i="1" a="1"/>
  <c r="N692" i="1"/>
  <c r="M692" i="1"/>
  <c r="O691" i="1"/>
  <c r="O691" i="1" a="1"/>
  <c r="N691" i="1"/>
  <c r="M691" i="1"/>
  <c r="O690" i="1"/>
  <c r="O690" i="1" a="1"/>
  <c r="N690" i="1"/>
  <c r="M690" i="1"/>
  <c r="O689" i="1"/>
  <c r="O689" i="1" a="1"/>
  <c r="N689" i="1"/>
  <c r="M689" i="1"/>
  <c r="O688" i="1"/>
  <c r="O688" i="1" a="1"/>
  <c r="N688" i="1"/>
  <c r="M688" i="1"/>
  <c r="O687" i="1"/>
  <c r="O687" i="1" a="1"/>
  <c r="N687" i="1"/>
  <c r="M687" i="1"/>
  <c r="O686" i="1"/>
  <c r="O686" i="1" a="1"/>
  <c r="N686" i="1"/>
  <c r="M686" i="1"/>
  <c r="O685" i="1"/>
  <c r="O685" i="1" a="1"/>
  <c r="N685" i="1"/>
  <c r="M685" i="1"/>
  <c r="O684" i="1"/>
  <c r="O684" i="1" a="1"/>
  <c r="N684" i="1"/>
  <c r="M684" i="1"/>
  <c r="O683" i="1"/>
  <c r="O683" i="1" a="1"/>
  <c r="N683" i="1"/>
  <c r="M683" i="1"/>
  <c r="O682" i="1"/>
  <c r="O682" i="1" a="1"/>
  <c r="N682" i="1"/>
  <c r="M682" i="1"/>
  <c r="O681" i="1"/>
  <c r="O681" i="1" a="1"/>
  <c r="N681" i="1"/>
  <c r="M681" i="1"/>
  <c r="O680" i="1"/>
  <c r="O680" i="1" a="1"/>
  <c r="N680" i="1"/>
  <c r="M680" i="1"/>
  <c r="O679" i="1"/>
  <c r="O679" i="1" a="1"/>
  <c r="N679" i="1"/>
  <c r="M679" i="1"/>
  <c r="O678" i="1"/>
  <c r="O678" i="1" a="1"/>
  <c r="N678" i="1"/>
  <c r="M678" i="1"/>
  <c r="O677" i="1"/>
  <c r="O677" i="1" a="1"/>
  <c r="N677" i="1"/>
  <c r="M677" i="1"/>
  <c r="O676" i="1"/>
  <c r="O676" i="1" a="1"/>
  <c r="N676" i="1"/>
  <c r="M676" i="1"/>
  <c r="O675" i="1"/>
  <c r="O675" i="1" a="1"/>
  <c r="N675" i="1"/>
  <c r="M675" i="1"/>
  <c r="O674" i="1"/>
  <c r="O674" i="1" a="1"/>
  <c r="N674" i="1"/>
  <c r="M674" i="1"/>
  <c r="O673" i="1"/>
  <c r="O673" i="1" a="1"/>
  <c r="N673" i="1"/>
  <c r="M673" i="1"/>
  <c r="O672" i="1"/>
  <c r="O672" i="1" a="1"/>
  <c r="N672" i="1"/>
  <c r="M672" i="1"/>
  <c r="O671" i="1"/>
  <c r="O671" i="1" a="1"/>
  <c r="N671" i="1"/>
  <c r="M671" i="1"/>
  <c r="O670" i="1"/>
  <c r="O670" i="1" a="1"/>
  <c r="N670" i="1"/>
  <c r="M670" i="1"/>
  <c r="O669" i="1"/>
  <c r="O669" i="1" a="1"/>
  <c r="N669" i="1"/>
  <c r="M669" i="1"/>
  <c r="O668" i="1"/>
  <c r="O668" i="1" a="1"/>
  <c r="N668" i="1"/>
  <c r="M668" i="1"/>
  <c r="O667" i="1"/>
  <c r="O667" i="1" a="1"/>
  <c r="N667" i="1"/>
  <c r="M667" i="1"/>
  <c r="O666" i="1"/>
  <c r="O666" i="1" a="1"/>
  <c r="N666" i="1"/>
  <c r="M666" i="1"/>
  <c r="O665" i="1"/>
  <c r="O665" i="1" a="1"/>
  <c r="N665" i="1"/>
  <c r="M665" i="1"/>
  <c r="O664" i="1"/>
  <c r="O664" i="1" a="1"/>
  <c r="N664" i="1"/>
  <c r="M664" i="1"/>
  <c r="O663" i="1"/>
  <c r="O663" i="1" a="1"/>
  <c r="N663" i="1"/>
  <c r="M663" i="1"/>
  <c r="O662" i="1"/>
  <c r="O662" i="1" a="1"/>
  <c r="N662" i="1"/>
  <c r="M662" i="1"/>
  <c r="O661" i="1"/>
  <c r="O661" i="1" a="1"/>
  <c r="N661" i="1"/>
  <c r="M661" i="1"/>
  <c r="O660" i="1"/>
  <c r="O660" i="1" a="1"/>
  <c r="N660" i="1"/>
  <c r="M660" i="1"/>
  <c r="O659" i="1"/>
  <c r="O659" i="1" a="1"/>
  <c r="N659" i="1"/>
  <c r="M659" i="1"/>
  <c r="O658" i="1"/>
  <c r="O658" i="1" a="1"/>
  <c r="N658" i="1"/>
  <c r="M658" i="1"/>
  <c r="O657" i="1"/>
  <c r="O657" i="1" a="1"/>
  <c r="N657" i="1"/>
  <c r="M657" i="1"/>
  <c r="O656" i="1"/>
  <c r="O656" i="1" a="1"/>
  <c r="N656" i="1"/>
  <c r="M656" i="1"/>
  <c r="O655" i="1"/>
  <c r="O655" i="1" a="1"/>
  <c r="N655" i="1"/>
  <c r="M655" i="1"/>
  <c r="O654" i="1"/>
  <c r="O654" i="1" a="1"/>
  <c r="N654" i="1"/>
  <c r="M654" i="1"/>
  <c r="O653" i="1"/>
  <c r="O653" i="1" a="1"/>
  <c r="N653" i="1"/>
  <c r="M653" i="1"/>
  <c r="O652" i="1"/>
  <c r="O652" i="1" a="1"/>
  <c r="N652" i="1"/>
  <c r="M652" i="1"/>
  <c r="O651" i="1"/>
  <c r="O651" i="1" a="1"/>
  <c r="N651" i="1"/>
  <c r="M651" i="1"/>
  <c r="O650" i="1"/>
  <c r="O650" i="1" a="1"/>
  <c r="N650" i="1"/>
  <c r="M650" i="1"/>
  <c r="O649" i="1"/>
  <c r="O649" i="1" a="1"/>
  <c r="N649" i="1"/>
  <c r="M649" i="1"/>
  <c r="O648" i="1"/>
  <c r="O648" i="1" a="1"/>
  <c r="N648" i="1"/>
  <c r="M648" i="1"/>
  <c r="O647" i="1"/>
  <c r="O647" i="1" a="1"/>
  <c r="N647" i="1"/>
  <c r="M647" i="1"/>
  <c r="O646" i="1"/>
  <c r="O646" i="1" a="1"/>
  <c r="N646" i="1"/>
  <c r="M646" i="1"/>
  <c r="O645" i="1"/>
  <c r="O645" i="1" a="1"/>
  <c r="N645" i="1"/>
  <c r="M645" i="1"/>
  <c r="O644" i="1"/>
  <c r="O644" i="1" a="1"/>
  <c r="N644" i="1"/>
  <c r="M644" i="1"/>
  <c r="O643" i="1"/>
  <c r="O643" i="1" a="1"/>
  <c r="N643" i="1"/>
  <c r="M643" i="1"/>
  <c r="O642" i="1"/>
  <c r="O642" i="1" a="1"/>
  <c r="N642" i="1"/>
  <c r="M642" i="1"/>
  <c r="O641" i="1"/>
  <c r="O641" i="1" a="1"/>
  <c r="N641" i="1"/>
  <c r="M641" i="1"/>
  <c r="O640" i="1"/>
  <c r="O640" i="1" a="1"/>
  <c r="N640" i="1"/>
  <c r="M640" i="1"/>
  <c r="O639" i="1"/>
  <c r="O639" i="1" a="1"/>
  <c r="N639" i="1"/>
  <c r="M639" i="1"/>
  <c r="O638" i="1"/>
  <c r="O638" i="1" a="1"/>
  <c r="N638" i="1"/>
  <c r="M638" i="1"/>
  <c r="O637" i="1"/>
  <c r="O637" i="1" a="1"/>
  <c r="N637" i="1"/>
  <c r="M637" i="1"/>
  <c r="O636" i="1"/>
  <c r="O636" i="1" a="1"/>
  <c r="N636" i="1"/>
  <c r="M636" i="1"/>
  <c r="O635" i="1"/>
  <c r="O635" i="1" a="1"/>
  <c r="N635" i="1"/>
  <c r="M635" i="1"/>
  <c r="O634" i="1"/>
  <c r="O634" i="1" a="1"/>
  <c r="N634" i="1"/>
  <c r="M634" i="1"/>
  <c r="O633" i="1"/>
  <c r="O633" i="1" a="1"/>
  <c r="N633" i="1"/>
  <c r="M633" i="1"/>
  <c r="O632" i="1"/>
  <c r="O632" i="1" a="1"/>
  <c r="N632" i="1"/>
  <c r="M632" i="1"/>
  <c r="O631" i="1"/>
  <c r="O631" i="1" a="1"/>
  <c r="N631" i="1"/>
  <c r="M631" i="1"/>
  <c r="O630" i="1"/>
  <c r="O630" i="1" a="1"/>
  <c r="N630" i="1"/>
  <c r="M630" i="1"/>
  <c r="O629" i="1"/>
  <c r="O629" i="1" a="1"/>
  <c r="N629" i="1"/>
  <c r="M629" i="1"/>
  <c r="O628" i="1"/>
  <c r="O628" i="1" a="1"/>
  <c r="N628" i="1"/>
  <c r="M628" i="1"/>
  <c r="O627" i="1"/>
  <c r="O627" i="1" a="1"/>
  <c r="N627" i="1"/>
  <c r="M627" i="1"/>
  <c r="O626" i="1"/>
  <c r="O626" i="1" a="1"/>
  <c r="N626" i="1"/>
  <c r="M626" i="1"/>
  <c r="O625" i="1"/>
  <c r="O625" i="1" a="1"/>
  <c r="N625" i="1"/>
  <c r="M625" i="1"/>
  <c r="O624" i="1"/>
  <c r="O624" i="1" a="1"/>
  <c r="N624" i="1"/>
  <c r="M624" i="1"/>
  <c r="O623" i="1"/>
  <c r="O623" i="1" a="1"/>
  <c r="N623" i="1"/>
  <c r="M623" i="1"/>
  <c r="O622" i="1"/>
  <c r="O622" i="1" a="1"/>
  <c r="N622" i="1"/>
  <c r="M622" i="1"/>
  <c r="O621" i="1"/>
  <c r="O621" i="1" a="1"/>
  <c r="N621" i="1"/>
  <c r="M621" i="1"/>
  <c r="O620" i="1"/>
  <c r="O620" i="1" a="1"/>
  <c r="N620" i="1"/>
  <c r="M620" i="1"/>
  <c r="O619" i="1"/>
  <c r="O619" i="1" a="1"/>
  <c r="N619" i="1"/>
  <c r="M619" i="1"/>
  <c r="O618" i="1"/>
  <c r="O618" i="1" a="1"/>
  <c r="N618" i="1"/>
  <c r="M618" i="1"/>
  <c r="O617" i="1"/>
  <c r="O617" i="1" a="1"/>
  <c r="N617" i="1"/>
  <c r="M617" i="1"/>
  <c r="O616" i="1"/>
  <c r="O616" i="1" a="1"/>
  <c r="N616" i="1"/>
  <c r="M616" i="1"/>
  <c r="O615" i="1"/>
  <c r="O615" i="1" a="1"/>
  <c r="N615" i="1"/>
  <c r="M615" i="1"/>
  <c r="O614" i="1"/>
  <c r="O614" i="1" a="1"/>
  <c r="N614" i="1"/>
  <c r="M614" i="1"/>
  <c r="O613" i="1"/>
  <c r="O613" i="1" a="1"/>
  <c r="N613" i="1"/>
  <c r="M613" i="1"/>
  <c r="O612" i="1"/>
  <c r="O612" i="1" a="1"/>
  <c r="N612" i="1"/>
  <c r="M612" i="1"/>
  <c r="O611" i="1"/>
  <c r="O611" i="1" a="1"/>
  <c r="N611" i="1"/>
  <c r="M611" i="1"/>
  <c r="O610" i="1"/>
  <c r="O610" i="1" a="1"/>
  <c r="N610" i="1"/>
  <c r="M610" i="1"/>
  <c r="O609" i="1"/>
  <c r="O609" i="1" a="1"/>
  <c r="N609" i="1"/>
  <c r="M609" i="1"/>
  <c r="O608" i="1"/>
  <c r="O608" i="1" a="1"/>
  <c r="N608" i="1"/>
  <c r="M608" i="1"/>
  <c r="O607" i="1"/>
  <c r="O607" i="1" a="1"/>
  <c r="N607" i="1"/>
  <c r="M607" i="1"/>
  <c r="O606" i="1"/>
  <c r="O606" i="1" a="1"/>
  <c r="N606" i="1"/>
  <c r="M606" i="1"/>
  <c r="O605" i="1"/>
  <c r="O605" i="1" a="1"/>
  <c r="N605" i="1"/>
  <c r="M605" i="1"/>
  <c r="O604" i="1"/>
  <c r="O604" i="1" a="1"/>
  <c r="N604" i="1"/>
  <c r="M604" i="1"/>
  <c r="O603" i="1"/>
  <c r="O603" i="1" a="1"/>
  <c r="N603" i="1"/>
  <c r="M603" i="1"/>
  <c r="O602" i="1"/>
  <c r="O602" i="1" a="1"/>
  <c r="N602" i="1"/>
  <c r="M602" i="1"/>
  <c r="O601" i="1"/>
  <c r="O601" i="1" a="1"/>
  <c r="N601" i="1"/>
  <c r="M601" i="1"/>
  <c r="O600" i="1"/>
  <c r="O600" i="1" a="1"/>
  <c r="N600" i="1"/>
  <c r="M600" i="1"/>
  <c r="O599" i="1"/>
  <c r="O599" i="1" a="1"/>
  <c r="N599" i="1"/>
  <c r="M599" i="1"/>
  <c r="O598" i="1"/>
  <c r="O598" i="1" a="1"/>
  <c r="N598" i="1"/>
  <c r="M598" i="1"/>
  <c r="O597" i="1"/>
  <c r="O597" i="1" a="1"/>
  <c r="N597" i="1"/>
  <c r="M597" i="1"/>
  <c r="O596" i="1"/>
  <c r="O596" i="1" a="1"/>
  <c r="N596" i="1"/>
  <c r="M596" i="1"/>
  <c r="O595" i="1"/>
  <c r="O595" i="1" a="1"/>
  <c r="N595" i="1"/>
  <c r="M595" i="1"/>
  <c r="O594" i="1"/>
  <c r="O594" i="1" a="1"/>
  <c r="N594" i="1"/>
  <c r="M594" i="1"/>
  <c r="O593" i="1"/>
  <c r="O593" i="1" a="1"/>
  <c r="N593" i="1"/>
  <c r="M593" i="1"/>
  <c r="O592" i="1"/>
  <c r="O592" i="1" a="1"/>
  <c r="N592" i="1"/>
  <c r="M592" i="1"/>
  <c r="O591" i="1"/>
  <c r="O591" i="1" a="1"/>
  <c r="N591" i="1"/>
  <c r="M591" i="1"/>
  <c r="O590" i="1"/>
  <c r="O590" i="1" a="1"/>
  <c r="N590" i="1"/>
  <c r="M590" i="1"/>
  <c r="O589" i="1"/>
  <c r="O589" i="1" a="1"/>
  <c r="N589" i="1"/>
  <c r="M589" i="1"/>
  <c r="O588" i="1"/>
  <c r="O588" i="1" a="1"/>
  <c r="N588" i="1"/>
  <c r="M588" i="1"/>
  <c r="O587" i="1"/>
  <c r="O587" i="1" a="1"/>
  <c r="N587" i="1"/>
  <c r="M587" i="1"/>
  <c r="O586" i="1"/>
  <c r="O586" i="1" a="1"/>
  <c r="N586" i="1"/>
  <c r="M586" i="1"/>
  <c r="O585" i="1"/>
  <c r="O585" i="1" a="1"/>
  <c r="N585" i="1"/>
  <c r="M585" i="1"/>
  <c r="O584" i="1"/>
  <c r="O584" i="1" a="1"/>
  <c r="N584" i="1"/>
  <c r="M584" i="1"/>
  <c r="O583" i="1"/>
  <c r="O583" i="1" a="1"/>
  <c r="N583" i="1"/>
  <c r="M583" i="1"/>
  <c r="O582" i="1"/>
  <c r="O582" i="1" a="1"/>
  <c r="N582" i="1"/>
  <c r="M582" i="1"/>
  <c r="O581" i="1"/>
  <c r="O581" i="1" a="1"/>
  <c r="N581" i="1"/>
  <c r="M581" i="1"/>
  <c r="O580" i="1"/>
  <c r="O580" i="1" a="1"/>
  <c r="N580" i="1"/>
  <c r="M580" i="1"/>
  <c r="O579" i="1"/>
  <c r="O579" i="1" a="1"/>
  <c r="N579" i="1"/>
  <c r="M579" i="1"/>
  <c r="O578" i="1"/>
  <c r="O578" i="1" a="1"/>
  <c r="N578" i="1"/>
  <c r="M578" i="1"/>
  <c r="O577" i="1"/>
  <c r="O577" i="1" a="1"/>
  <c r="N577" i="1"/>
  <c r="M577" i="1"/>
  <c r="O576" i="1"/>
  <c r="O576" i="1" a="1"/>
  <c r="N576" i="1"/>
  <c r="M576" i="1"/>
  <c r="O575" i="1"/>
  <c r="O575" i="1" a="1"/>
  <c r="N575" i="1"/>
  <c r="M575" i="1"/>
  <c r="O574" i="1"/>
  <c r="O574" i="1" a="1"/>
  <c r="N574" i="1"/>
  <c r="M574" i="1"/>
  <c r="O573" i="1"/>
  <c r="O573" i="1" a="1"/>
  <c r="N573" i="1"/>
  <c r="M573" i="1"/>
  <c r="O572" i="1"/>
  <c r="O572" i="1" a="1"/>
  <c r="N572" i="1"/>
  <c r="M572" i="1"/>
  <c r="O571" i="1"/>
  <c r="O571" i="1" a="1"/>
  <c r="N571" i="1"/>
  <c r="M571" i="1"/>
  <c r="O570" i="1"/>
  <c r="O570" i="1" a="1"/>
  <c r="N570" i="1"/>
  <c r="M570" i="1"/>
  <c r="O569" i="1"/>
  <c r="O569" i="1" a="1"/>
  <c r="N569" i="1"/>
  <c r="M569" i="1"/>
  <c r="O568" i="1"/>
  <c r="O568" i="1" a="1"/>
  <c r="N568" i="1"/>
  <c r="M568" i="1"/>
  <c r="O567" i="1"/>
  <c r="O567" i="1" a="1"/>
  <c r="N567" i="1"/>
  <c r="M567" i="1"/>
  <c r="O566" i="1"/>
  <c r="O566" i="1" a="1"/>
  <c r="N566" i="1"/>
  <c r="M566" i="1"/>
  <c r="O565" i="1"/>
  <c r="O565" i="1" a="1"/>
  <c r="N565" i="1"/>
  <c r="M565" i="1"/>
  <c r="O564" i="1"/>
  <c r="O564" i="1" a="1"/>
  <c r="N564" i="1"/>
  <c r="M564" i="1"/>
  <c r="O563" i="1"/>
  <c r="O563" i="1" a="1"/>
  <c r="N563" i="1"/>
  <c r="M563" i="1"/>
  <c r="O562" i="1"/>
  <c r="O562" i="1" a="1"/>
  <c r="N562" i="1"/>
  <c r="M562" i="1"/>
  <c r="O561" i="1"/>
  <c r="O561" i="1" a="1"/>
  <c r="N561" i="1"/>
  <c r="M561" i="1"/>
  <c r="O560" i="1"/>
  <c r="O560" i="1" a="1"/>
  <c r="N560" i="1"/>
  <c r="M560" i="1"/>
  <c r="O559" i="1"/>
  <c r="O559" i="1" a="1"/>
  <c r="N559" i="1"/>
  <c r="M559" i="1"/>
  <c r="O558" i="1"/>
  <c r="O558" i="1" a="1"/>
  <c r="N558" i="1"/>
  <c r="M558" i="1"/>
  <c r="O557" i="1"/>
  <c r="O557" i="1" a="1"/>
  <c r="N557" i="1"/>
  <c r="M557" i="1"/>
  <c r="O556" i="1"/>
  <c r="O556" i="1" a="1"/>
  <c r="N556" i="1"/>
  <c r="M556" i="1"/>
  <c r="O555" i="1"/>
  <c r="O555" i="1" a="1"/>
  <c r="N555" i="1"/>
  <c r="M555" i="1"/>
  <c r="O554" i="1"/>
  <c r="O554" i="1" a="1"/>
  <c r="N554" i="1"/>
  <c r="M554" i="1"/>
  <c r="O553" i="1"/>
  <c r="O553" i="1" a="1"/>
  <c r="N553" i="1"/>
  <c r="M553" i="1"/>
  <c r="O552" i="1"/>
  <c r="O552" i="1" a="1"/>
  <c r="N552" i="1"/>
  <c r="M552" i="1"/>
  <c r="O551" i="1"/>
  <c r="O551" i="1" a="1"/>
  <c r="N551" i="1"/>
  <c r="M551" i="1"/>
  <c r="O550" i="1"/>
  <c r="O550" i="1" a="1"/>
  <c r="N550" i="1"/>
  <c r="M550" i="1"/>
  <c r="O549" i="1"/>
  <c r="O549" i="1" a="1"/>
  <c r="N549" i="1"/>
  <c r="M549" i="1"/>
  <c r="O548" i="1"/>
  <c r="O548" i="1" a="1"/>
  <c r="N548" i="1"/>
  <c r="M548" i="1"/>
  <c r="O547" i="1"/>
  <c r="O547" i="1" a="1"/>
  <c r="N547" i="1"/>
  <c r="M547" i="1"/>
  <c r="O546" i="1"/>
  <c r="O546" i="1" a="1"/>
  <c r="N546" i="1"/>
  <c r="M546" i="1"/>
  <c r="O545" i="1"/>
  <c r="O545" i="1" a="1"/>
  <c r="N545" i="1"/>
  <c r="M545" i="1"/>
  <c r="O544" i="1"/>
  <c r="O544" i="1" a="1"/>
  <c r="N544" i="1"/>
  <c r="M544" i="1"/>
  <c r="O543" i="1"/>
  <c r="O543" i="1" a="1"/>
  <c r="N543" i="1"/>
  <c r="M543" i="1"/>
  <c r="O542" i="1"/>
  <c r="O542" i="1" a="1"/>
  <c r="N542" i="1"/>
  <c r="M542" i="1"/>
  <c r="O541" i="1"/>
  <c r="O541" i="1" a="1"/>
  <c r="N541" i="1"/>
  <c r="M541" i="1"/>
  <c r="O540" i="1"/>
  <c r="O540" i="1" a="1"/>
  <c r="N540" i="1"/>
  <c r="M540" i="1"/>
  <c r="O539" i="1"/>
  <c r="O539" i="1" a="1"/>
  <c r="N539" i="1"/>
  <c r="M539" i="1"/>
  <c r="O538" i="1"/>
  <c r="O538" i="1" a="1"/>
  <c r="N538" i="1"/>
  <c r="M538" i="1"/>
  <c r="O537" i="1"/>
  <c r="O537" i="1" a="1"/>
  <c r="N537" i="1"/>
  <c r="M537" i="1"/>
  <c r="O536" i="1"/>
  <c r="O536" i="1" a="1"/>
  <c r="N536" i="1"/>
  <c r="M536" i="1"/>
  <c r="O535" i="1"/>
  <c r="O535" i="1" a="1"/>
  <c r="N535" i="1"/>
  <c r="M535" i="1"/>
  <c r="O534" i="1"/>
  <c r="O534" i="1" a="1"/>
  <c r="N534" i="1"/>
  <c r="M534" i="1"/>
  <c r="O533" i="1"/>
  <c r="O533" i="1" a="1"/>
  <c r="N533" i="1"/>
  <c r="M533" i="1"/>
  <c r="O532" i="1"/>
  <c r="O532" i="1" a="1"/>
  <c r="N532" i="1"/>
  <c r="M532" i="1"/>
  <c r="O531" i="1"/>
  <c r="O531" i="1" a="1"/>
  <c r="N531" i="1"/>
  <c r="M531" i="1"/>
  <c r="O530" i="1"/>
  <c r="O530" i="1" a="1"/>
  <c r="N530" i="1"/>
  <c r="M530" i="1"/>
  <c r="O529" i="1"/>
  <c r="O529" i="1" a="1"/>
  <c r="N529" i="1"/>
  <c r="M529" i="1"/>
  <c r="O528" i="1"/>
  <c r="O528" i="1" a="1"/>
  <c r="N528" i="1"/>
  <c r="M528" i="1"/>
  <c r="O527" i="1"/>
  <c r="O527" i="1" a="1"/>
  <c r="N527" i="1"/>
  <c r="M527" i="1"/>
  <c r="O526" i="1"/>
  <c r="O526" i="1" a="1"/>
  <c r="N526" i="1"/>
  <c r="M526" i="1"/>
  <c r="O525" i="1"/>
  <c r="O525" i="1" a="1"/>
  <c r="N525" i="1"/>
  <c r="M525" i="1"/>
  <c r="O524" i="1"/>
  <c r="O524" i="1" a="1"/>
  <c r="N524" i="1"/>
  <c r="M524" i="1"/>
  <c r="O523" i="1"/>
  <c r="O523" i="1" a="1"/>
  <c r="N523" i="1"/>
  <c r="M523" i="1"/>
  <c r="O522" i="1"/>
  <c r="O522" i="1" a="1"/>
  <c r="N522" i="1"/>
  <c r="M522" i="1"/>
  <c r="O521" i="1"/>
  <c r="O521" i="1" a="1"/>
  <c r="N521" i="1"/>
  <c r="M521" i="1"/>
  <c r="O520" i="1"/>
  <c r="O520" i="1" a="1"/>
  <c r="N520" i="1"/>
  <c r="M520" i="1"/>
  <c r="O519" i="1"/>
  <c r="O519" i="1" a="1"/>
  <c r="N519" i="1"/>
  <c r="M519" i="1"/>
  <c r="O518" i="1"/>
  <c r="O518" i="1" a="1"/>
  <c r="N518" i="1"/>
  <c r="M518" i="1"/>
  <c r="O517" i="1"/>
  <c r="O517" i="1" a="1"/>
  <c r="N517" i="1"/>
  <c r="M517" i="1"/>
  <c r="O516" i="1"/>
  <c r="O516" i="1" a="1"/>
  <c r="N516" i="1"/>
  <c r="M516" i="1"/>
  <c r="O515" i="1"/>
  <c r="O515" i="1" a="1"/>
  <c r="N515" i="1"/>
  <c r="M515" i="1"/>
  <c r="O514" i="1"/>
  <c r="O514" i="1" a="1"/>
  <c r="N514" i="1"/>
  <c r="M514" i="1"/>
  <c r="O513" i="1"/>
  <c r="O513" i="1" a="1"/>
  <c r="N513" i="1"/>
  <c r="M513" i="1"/>
  <c r="O512" i="1"/>
  <c r="O512" i="1" a="1"/>
  <c r="N512" i="1"/>
  <c r="M512" i="1"/>
  <c r="O511" i="1"/>
  <c r="O511" i="1" a="1"/>
  <c r="N511" i="1"/>
  <c r="M511" i="1"/>
  <c r="O510" i="1"/>
  <c r="O510" i="1" a="1"/>
  <c r="N510" i="1"/>
  <c r="M510" i="1"/>
  <c r="O509" i="1"/>
  <c r="O509" i="1" a="1"/>
  <c r="N509" i="1"/>
  <c r="M509" i="1"/>
  <c r="O508" i="1"/>
  <c r="O508" i="1" a="1"/>
  <c r="N508" i="1"/>
  <c r="M508" i="1"/>
  <c r="O507" i="1"/>
  <c r="O507" i="1" a="1"/>
  <c r="N507" i="1"/>
  <c r="M507" i="1"/>
  <c r="O506" i="1"/>
  <c r="O506" i="1" a="1"/>
  <c r="N506" i="1"/>
  <c r="M506" i="1"/>
  <c r="O505" i="1"/>
  <c r="O505" i="1" a="1"/>
  <c r="N505" i="1"/>
  <c r="M505" i="1"/>
  <c r="O504" i="1"/>
  <c r="O504" i="1" a="1"/>
  <c r="N504" i="1"/>
  <c r="M504" i="1"/>
  <c r="O503" i="1"/>
  <c r="O503" i="1" a="1"/>
  <c r="N503" i="1"/>
  <c r="M503" i="1"/>
  <c r="O502" i="1"/>
  <c r="O502" i="1" a="1"/>
  <c r="N502" i="1"/>
  <c r="M502" i="1"/>
  <c r="O501" i="1"/>
  <c r="O501" i="1" a="1"/>
  <c r="N501" i="1"/>
  <c r="M501" i="1"/>
  <c r="O500" i="1"/>
  <c r="O500" i="1" a="1"/>
  <c r="N500" i="1"/>
  <c r="M500" i="1"/>
  <c r="O499" i="1"/>
  <c r="O499" i="1" a="1"/>
  <c r="N499" i="1"/>
  <c r="M499" i="1"/>
  <c r="O498" i="1"/>
  <c r="O498" i="1" a="1"/>
  <c r="N498" i="1"/>
  <c r="M498" i="1"/>
  <c r="O497" i="1"/>
  <c r="O497" i="1" a="1"/>
  <c r="N497" i="1"/>
  <c r="M497" i="1"/>
  <c r="O496" i="1"/>
  <c r="O496" i="1" a="1"/>
  <c r="N496" i="1"/>
  <c r="M496" i="1"/>
  <c r="O495" i="1"/>
  <c r="O495" i="1" a="1"/>
  <c r="N495" i="1"/>
  <c r="M495" i="1"/>
  <c r="O494" i="1"/>
  <c r="O494" i="1" a="1"/>
  <c r="N494" i="1"/>
  <c r="M494" i="1"/>
  <c r="O493" i="1"/>
  <c r="O493" i="1" a="1"/>
  <c r="N493" i="1"/>
  <c r="M493" i="1"/>
  <c r="O492" i="1"/>
  <c r="O492" i="1" a="1"/>
  <c r="N492" i="1"/>
  <c r="M492" i="1"/>
  <c r="O491" i="1"/>
  <c r="O491" i="1" a="1"/>
  <c r="N491" i="1"/>
  <c r="M491" i="1"/>
  <c r="O490" i="1"/>
  <c r="O490" i="1" a="1"/>
  <c r="N490" i="1"/>
  <c r="M490" i="1"/>
  <c r="O489" i="1"/>
  <c r="O489" i="1" a="1"/>
  <c r="N489" i="1"/>
  <c r="M489" i="1"/>
  <c r="O488" i="1"/>
  <c r="O488" i="1" a="1"/>
  <c r="N488" i="1"/>
  <c r="M488" i="1"/>
  <c r="O487" i="1"/>
  <c r="O487" i="1" a="1"/>
  <c r="N487" i="1"/>
  <c r="M487" i="1"/>
  <c r="O486" i="1"/>
  <c r="O486" i="1" a="1"/>
  <c r="N486" i="1"/>
  <c r="M486" i="1"/>
  <c r="O485" i="1"/>
  <c r="O485" i="1" a="1"/>
  <c r="N485" i="1"/>
  <c r="M485" i="1"/>
  <c r="O484" i="1"/>
  <c r="O484" i="1" a="1"/>
  <c r="N484" i="1"/>
  <c r="M484" i="1"/>
  <c r="O483" i="1"/>
  <c r="O483" i="1" a="1"/>
  <c r="N483" i="1"/>
  <c r="M483" i="1"/>
  <c r="O482" i="1"/>
  <c r="O482" i="1" a="1"/>
  <c r="N482" i="1"/>
  <c r="M482" i="1"/>
  <c r="O481" i="1"/>
  <c r="O481" i="1" a="1"/>
  <c r="N481" i="1"/>
  <c r="M481" i="1"/>
  <c r="O480" i="1"/>
  <c r="O480" i="1" a="1"/>
  <c r="N480" i="1"/>
  <c r="M480" i="1"/>
  <c r="O479" i="1"/>
  <c r="O479" i="1" a="1"/>
  <c r="N479" i="1"/>
  <c r="M479" i="1"/>
  <c r="O478" i="1"/>
  <c r="O478" i="1" a="1"/>
  <c r="N478" i="1"/>
  <c r="M478" i="1"/>
  <c r="O477" i="1"/>
  <c r="O477" i="1" a="1"/>
  <c r="N477" i="1"/>
  <c r="M477" i="1"/>
  <c r="O476" i="1"/>
  <c r="O476" i="1" a="1"/>
  <c r="N476" i="1"/>
  <c r="M476" i="1"/>
  <c r="O475" i="1"/>
  <c r="O475" i="1" a="1"/>
  <c r="N475" i="1"/>
  <c r="M475" i="1"/>
  <c r="O474" i="1"/>
  <c r="O474" i="1" a="1"/>
  <c r="N474" i="1"/>
  <c r="M474" i="1"/>
  <c r="O473" i="1"/>
  <c r="O473" i="1" a="1"/>
  <c r="N473" i="1"/>
  <c r="M473" i="1"/>
  <c r="O472" i="1"/>
  <c r="O472" i="1" a="1"/>
  <c r="N472" i="1"/>
  <c r="M472" i="1"/>
  <c r="O471" i="1"/>
  <c r="O471" i="1" a="1"/>
  <c r="N471" i="1"/>
  <c r="M471" i="1"/>
  <c r="O470" i="1"/>
  <c r="O470" i="1" a="1"/>
  <c r="N470" i="1"/>
  <c r="M470" i="1"/>
  <c r="O469" i="1"/>
  <c r="O469" i="1" a="1"/>
  <c r="N469" i="1"/>
  <c r="M469" i="1"/>
  <c r="O468" i="1"/>
  <c r="O468" i="1" a="1"/>
  <c r="N468" i="1"/>
  <c r="M468" i="1"/>
  <c r="O467" i="1"/>
  <c r="O467" i="1" a="1"/>
  <c r="N467" i="1"/>
  <c r="M467" i="1"/>
  <c r="O466" i="1"/>
  <c r="O466" i="1" a="1"/>
  <c r="N466" i="1"/>
  <c r="M466" i="1"/>
  <c r="O465" i="1"/>
  <c r="O465" i="1" a="1"/>
  <c r="N465" i="1"/>
  <c r="M465" i="1"/>
  <c r="O464" i="1"/>
  <c r="O464" i="1" a="1"/>
  <c r="N464" i="1"/>
  <c r="M464" i="1"/>
  <c r="O463" i="1"/>
  <c r="O463" i="1" a="1"/>
  <c r="N463" i="1"/>
  <c r="M463" i="1"/>
  <c r="O462" i="1"/>
  <c r="O462" i="1" a="1"/>
  <c r="N462" i="1"/>
  <c r="M462" i="1"/>
  <c r="O461" i="1"/>
  <c r="O461" i="1" a="1"/>
  <c r="N461" i="1"/>
  <c r="M461" i="1"/>
  <c r="O460" i="1"/>
  <c r="O460" i="1" a="1"/>
  <c r="N460" i="1"/>
  <c r="M460" i="1"/>
  <c r="O459" i="1"/>
  <c r="O459" i="1" a="1"/>
  <c r="N459" i="1"/>
  <c r="M459" i="1"/>
  <c r="O458" i="1"/>
  <c r="O458" i="1" a="1"/>
  <c r="N458" i="1"/>
  <c r="M458" i="1"/>
  <c r="O457" i="1"/>
  <c r="O457" i="1" a="1"/>
  <c r="N457" i="1"/>
  <c r="M457" i="1"/>
  <c r="O456" i="1"/>
  <c r="O456" i="1" a="1"/>
  <c r="N456" i="1"/>
  <c r="M456" i="1"/>
  <c r="O455" i="1"/>
  <c r="O455" i="1" a="1"/>
  <c r="N455" i="1"/>
  <c r="M455" i="1"/>
  <c r="O454" i="1"/>
  <c r="O454" i="1" a="1"/>
  <c r="N454" i="1"/>
  <c r="M454" i="1"/>
  <c r="O453" i="1"/>
  <c r="O453" i="1" a="1"/>
  <c r="N453" i="1"/>
  <c r="M453" i="1"/>
  <c r="O452" i="1"/>
  <c r="O452" i="1" a="1"/>
  <c r="N452" i="1"/>
  <c r="M452" i="1"/>
  <c r="O451" i="1"/>
  <c r="O451" i="1" a="1"/>
  <c r="N451" i="1"/>
  <c r="M451" i="1"/>
  <c r="O450" i="1"/>
  <c r="O450" i="1" a="1"/>
  <c r="N450" i="1"/>
  <c r="M450" i="1"/>
  <c r="O449" i="1"/>
  <c r="O449" i="1" a="1"/>
  <c r="N449" i="1"/>
  <c r="M449" i="1"/>
  <c r="O448" i="1"/>
  <c r="O448" i="1" a="1"/>
  <c r="N448" i="1"/>
  <c r="M448" i="1"/>
  <c r="O447" i="1"/>
  <c r="O447" i="1" a="1"/>
  <c r="N447" i="1"/>
  <c r="M447" i="1"/>
  <c r="O446" i="1"/>
  <c r="O446" i="1" a="1"/>
  <c r="N446" i="1"/>
  <c r="M446" i="1"/>
  <c r="O445" i="1"/>
  <c r="O445" i="1" a="1"/>
  <c r="N445" i="1"/>
  <c r="M445" i="1"/>
  <c r="O444" i="1"/>
  <c r="O444" i="1" a="1"/>
  <c r="N444" i="1"/>
  <c r="M444" i="1"/>
  <c r="O443" i="1"/>
  <c r="O443" i="1" a="1"/>
  <c r="N443" i="1"/>
  <c r="M443" i="1"/>
  <c r="O442" i="1"/>
  <c r="O442" i="1" a="1"/>
  <c r="N442" i="1"/>
  <c r="M442" i="1"/>
  <c r="O441" i="1"/>
  <c r="O441" i="1" a="1"/>
  <c r="N441" i="1"/>
  <c r="M441" i="1"/>
  <c r="O440" i="1"/>
  <c r="O440" i="1" a="1"/>
  <c r="N440" i="1"/>
  <c r="M440" i="1"/>
  <c r="O439" i="1"/>
  <c r="O439" i="1" a="1"/>
  <c r="N439" i="1"/>
  <c r="M439" i="1"/>
  <c r="O438" i="1"/>
  <c r="O438" i="1" a="1"/>
  <c r="N438" i="1"/>
  <c r="M438" i="1"/>
  <c r="O437" i="1"/>
  <c r="O437" i="1" a="1"/>
  <c r="N437" i="1"/>
  <c r="M437" i="1"/>
  <c r="O436" i="1"/>
  <c r="O436" i="1" a="1"/>
  <c r="N436" i="1"/>
  <c r="M436" i="1"/>
  <c r="O435" i="1"/>
  <c r="O435" i="1" a="1"/>
  <c r="N435" i="1"/>
  <c r="M435" i="1"/>
  <c r="O434" i="1"/>
  <c r="O434" i="1" a="1"/>
  <c r="N434" i="1"/>
  <c r="M434" i="1"/>
  <c r="O433" i="1"/>
  <c r="O433" i="1" a="1"/>
  <c r="N433" i="1"/>
  <c r="M433" i="1"/>
  <c r="O432" i="1"/>
  <c r="O432" i="1" a="1"/>
  <c r="N432" i="1"/>
  <c r="M432" i="1"/>
  <c r="O431" i="1"/>
  <c r="O431" i="1" a="1"/>
  <c r="N431" i="1"/>
  <c r="M431" i="1"/>
  <c r="O430" i="1"/>
  <c r="O430" i="1" a="1"/>
  <c r="N430" i="1"/>
  <c r="M430" i="1"/>
  <c r="O429" i="1"/>
  <c r="O429" i="1" a="1"/>
  <c r="N429" i="1"/>
  <c r="M429" i="1"/>
  <c r="O428" i="1"/>
  <c r="O428" i="1" a="1"/>
  <c r="N428" i="1"/>
  <c r="M428" i="1"/>
  <c r="O427" i="1"/>
  <c r="O427" i="1" a="1"/>
  <c r="N427" i="1"/>
  <c r="M427" i="1"/>
  <c r="O426" i="1"/>
  <c r="O426" i="1" a="1"/>
  <c r="N426" i="1"/>
  <c r="M426" i="1"/>
  <c r="O425" i="1"/>
  <c r="O425" i="1" a="1"/>
  <c r="N425" i="1"/>
  <c r="M425" i="1"/>
  <c r="O424" i="1"/>
  <c r="O424" i="1" a="1"/>
  <c r="N424" i="1"/>
  <c r="M424" i="1"/>
  <c r="O423" i="1"/>
  <c r="O423" i="1" a="1"/>
  <c r="N423" i="1"/>
  <c r="M423" i="1"/>
  <c r="O422" i="1"/>
  <c r="O422" i="1" a="1"/>
  <c r="N422" i="1"/>
  <c r="M422" i="1"/>
  <c r="O421" i="1"/>
  <c r="O421" i="1" a="1"/>
  <c r="N421" i="1"/>
  <c r="M421" i="1"/>
  <c r="O420" i="1"/>
  <c r="O420" i="1" a="1"/>
  <c r="N420" i="1"/>
  <c r="M420" i="1"/>
  <c r="O419" i="1"/>
  <c r="O419" i="1" a="1"/>
  <c r="N419" i="1"/>
  <c r="M419" i="1"/>
  <c r="O418" i="1"/>
  <c r="O418" i="1" a="1"/>
  <c r="N418" i="1"/>
  <c r="M418" i="1"/>
  <c r="O417" i="1"/>
  <c r="O417" i="1" a="1"/>
  <c r="N417" i="1"/>
  <c r="M417" i="1"/>
  <c r="O416" i="1"/>
  <c r="O416" i="1" a="1"/>
  <c r="N416" i="1"/>
  <c r="M416" i="1"/>
  <c r="O415" i="1"/>
  <c r="O415" i="1" a="1"/>
  <c r="N415" i="1"/>
  <c r="M415" i="1"/>
  <c r="O414" i="1"/>
  <c r="O414" i="1" a="1"/>
  <c r="N414" i="1"/>
  <c r="M414" i="1"/>
  <c r="O413" i="1"/>
  <c r="O413" i="1" a="1"/>
  <c r="N413" i="1"/>
  <c r="M413" i="1"/>
  <c r="O412" i="1"/>
  <c r="O412" i="1" a="1"/>
  <c r="N412" i="1"/>
  <c r="M412" i="1"/>
  <c r="O411" i="1"/>
  <c r="O411" i="1" a="1"/>
  <c r="N411" i="1"/>
  <c r="M411" i="1"/>
  <c r="O410" i="1"/>
  <c r="O410" i="1" a="1"/>
  <c r="N410" i="1"/>
  <c r="M410" i="1"/>
  <c r="O409" i="1"/>
  <c r="O409" i="1" a="1"/>
  <c r="N409" i="1"/>
  <c r="M409" i="1"/>
  <c r="O408" i="1"/>
  <c r="O408" i="1" a="1"/>
  <c r="N408" i="1"/>
  <c r="M408" i="1"/>
  <c r="O407" i="1"/>
  <c r="O407" i="1" a="1"/>
  <c r="N407" i="1"/>
  <c r="M407" i="1"/>
  <c r="O406" i="1"/>
  <c r="O406" i="1" a="1"/>
  <c r="N406" i="1"/>
  <c r="M406" i="1"/>
  <c r="O405" i="1"/>
  <c r="O405" i="1" a="1"/>
  <c r="N405" i="1"/>
  <c r="M405" i="1"/>
  <c r="O404" i="1"/>
  <c r="O404" i="1" a="1"/>
  <c r="N404" i="1"/>
  <c r="M404" i="1"/>
  <c r="O403" i="1"/>
  <c r="O403" i="1" a="1"/>
  <c r="N403" i="1"/>
  <c r="M403" i="1"/>
  <c r="O402" i="1"/>
  <c r="O402" i="1" a="1"/>
  <c r="N402" i="1"/>
  <c r="M402" i="1"/>
  <c r="O401" i="1"/>
  <c r="O401" i="1" a="1"/>
  <c r="N401" i="1"/>
  <c r="M401" i="1"/>
  <c r="O400" i="1"/>
  <c r="O400" i="1" a="1"/>
  <c r="N400" i="1"/>
  <c r="M400" i="1"/>
  <c r="O399" i="1"/>
  <c r="O399" i="1" a="1"/>
  <c r="N399" i="1"/>
  <c r="M399" i="1"/>
  <c r="O398" i="1"/>
  <c r="O398" i="1" a="1"/>
  <c r="N398" i="1"/>
  <c r="M398" i="1"/>
  <c r="O397" i="1"/>
  <c r="O397" i="1" a="1"/>
  <c r="N397" i="1"/>
  <c r="M397" i="1"/>
  <c r="O396" i="1"/>
  <c r="O396" i="1" a="1"/>
  <c r="N396" i="1"/>
  <c r="M396" i="1"/>
  <c r="O395" i="1"/>
  <c r="O395" i="1" a="1"/>
  <c r="N395" i="1"/>
  <c r="M395" i="1"/>
  <c r="O394" i="1"/>
  <c r="O394" i="1" a="1"/>
  <c r="N394" i="1"/>
  <c r="M394" i="1"/>
  <c r="O393" i="1"/>
  <c r="O393" i="1" a="1"/>
  <c r="N393" i="1"/>
  <c r="M393" i="1"/>
  <c r="O392" i="1"/>
  <c r="O392" i="1" a="1"/>
  <c r="N392" i="1"/>
  <c r="M392" i="1"/>
  <c r="O391" i="1"/>
  <c r="O391" i="1" a="1"/>
  <c r="N391" i="1"/>
  <c r="M391" i="1"/>
  <c r="O390" i="1"/>
  <c r="O390" i="1" a="1"/>
  <c r="N390" i="1"/>
  <c r="M390" i="1"/>
  <c r="O389" i="1"/>
  <c r="O389" i="1" a="1"/>
  <c r="N389" i="1"/>
  <c r="M389" i="1"/>
  <c r="O388" i="1"/>
  <c r="O388" i="1" a="1"/>
  <c r="N388" i="1"/>
  <c r="M388" i="1"/>
  <c r="O387" i="1"/>
  <c r="O387" i="1" a="1"/>
  <c r="N387" i="1"/>
  <c r="M387" i="1"/>
  <c r="O386" i="1"/>
  <c r="O386" i="1" a="1"/>
  <c r="N386" i="1"/>
  <c r="M386" i="1"/>
  <c r="O385" i="1"/>
  <c r="O385" i="1" a="1"/>
  <c r="N385" i="1"/>
  <c r="M385" i="1"/>
  <c r="O384" i="1"/>
  <c r="O384" i="1" a="1"/>
  <c r="N384" i="1"/>
  <c r="M384" i="1"/>
  <c r="O383" i="1"/>
  <c r="O383" i="1" a="1"/>
  <c r="N383" i="1"/>
  <c r="M383" i="1"/>
  <c r="O382" i="1"/>
  <c r="O382" i="1" a="1"/>
  <c r="N382" i="1"/>
  <c r="M382" i="1"/>
  <c r="O381" i="1"/>
  <c r="O381" i="1" a="1"/>
  <c r="N381" i="1"/>
  <c r="M381" i="1"/>
  <c r="O380" i="1"/>
  <c r="O380" i="1" a="1"/>
  <c r="N380" i="1"/>
  <c r="M380" i="1"/>
  <c r="O379" i="1"/>
  <c r="O379" i="1" a="1"/>
  <c r="N379" i="1"/>
  <c r="M379" i="1"/>
  <c r="O378" i="1"/>
  <c r="O378" i="1" a="1"/>
  <c r="N378" i="1"/>
  <c r="M378" i="1"/>
  <c r="O377" i="1"/>
  <c r="O377" i="1" a="1"/>
  <c r="N377" i="1"/>
  <c r="M377" i="1"/>
  <c r="O376" i="1"/>
  <c r="O376" i="1" a="1"/>
  <c r="N376" i="1"/>
  <c r="M376" i="1"/>
  <c r="O375" i="1"/>
  <c r="O375" i="1" a="1"/>
  <c r="N375" i="1"/>
  <c r="M375" i="1"/>
  <c r="O374" i="1"/>
  <c r="O374" i="1" a="1"/>
  <c r="N374" i="1"/>
  <c r="M374" i="1"/>
  <c r="O373" i="1"/>
  <c r="O373" i="1" a="1"/>
  <c r="N373" i="1"/>
  <c r="M373" i="1"/>
  <c r="O372" i="1"/>
  <c r="O372" i="1" a="1"/>
  <c r="N372" i="1"/>
  <c r="M372" i="1"/>
  <c r="O371" i="1"/>
  <c r="O371" i="1" a="1"/>
  <c r="N371" i="1"/>
  <c r="M371" i="1"/>
  <c r="O370" i="1"/>
  <c r="O370" i="1" a="1"/>
  <c r="N370" i="1"/>
  <c r="M370" i="1"/>
  <c r="O369" i="1"/>
  <c r="O369" i="1" a="1"/>
  <c r="N369" i="1"/>
  <c r="M369" i="1"/>
  <c r="O368" i="1"/>
  <c r="O368" i="1" a="1"/>
  <c r="N368" i="1"/>
  <c r="M368" i="1"/>
  <c r="O367" i="1"/>
  <c r="O367" i="1" a="1"/>
  <c r="N367" i="1"/>
  <c r="M367" i="1"/>
  <c r="O366" i="1"/>
  <c r="O366" i="1" a="1"/>
  <c r="N366" i="1"/>
  <c r="M366" i="1"/>
  <c r="O365" i="1"/>
  <c r="O365" i="1" a="1"/>
  <c r="N365" i="1"/>
  <c r="M365" i="1"/>
  <c r="O364" i="1"/>
  <c r="O364" i="1" a="1"/>
  <c r="N364" i="1"/>
  <c r="M364" i="1"/>
  <c r="O363" i="1"/>
  <c r="O363" i="1" a="1"/>
  <c r="N363" i="1"/>
  <c r="M363" i="1"/>
  <c r="O362" i="1"/>
  <c r="O362" i="1" a="1"/>
  <c r="N362" i="1"/>
  <c r="M362" i="1"/>
  <c r="O361" i="1"/>
  <c r="O361" i="1" a="1"/>
  <c r="N361" i="1"/>
  <c r="M361" i="1"/>
  <c r="O360" i="1"/>
  <c r="O360" i="1" a="1"/>
  <c r="N360" i="1"/>
  <c r="M360" i="1"/>
  <c r="O359" i="1"/>
  <c r="O359" i="1" a="1"/>
  <c r="N359" i="1"/>
  <c r="M359" i="1"/>
  <c r="O358" i="1"/>
  <c r="O358" i="1" a="1"/>
  <c r="N358" i="1"/>
  <c r="M358" i="1"/>
  <c r="O357" i="1"/>
  <c r="O357" i="1" a="1"/>
  <c r="N357" i="1"/>
  <c r="M357" i="1"/>
  <c r="O356" i="1"/>
  <c r="O356" i="1" a="1"/>
  <c r="N356" i="1"/>
  <c r="M356" i="1"/>
  <c r="O355" i="1"/>
  <c r="O355" i="1" a="1"/>
  <c r="N355" i="1"/>
  <c r="M355" i="1"/>
  <c r="O354" i="1"/>
  <c r="O354" i="1" a="1"/>
  <c r="N354" i="1"/>
  <c r="M354" i="1"/>
  <c r="O353" i="1"/>
  <c r="O353" i="1" a="1"/>
  <c r="N353" i="1"/>
  <c r="M353" i="1"/>
  <c r="O352" i="1"/>
  <c r="O352" i="1" a="1"/>
  <c r="N352" i="1"/>
  <c r="M352" i="1"/>
  <c r="O351" i="1"/>
  <c r="O351" i="1" a="1"/>
  <c r="N351" i="1"/>
  <c r="M351" i="1"/>
  <c r="O350" i="1"/>
  <c r="O350" i="1" a="1"/>
  <c r="N350" i="1"/>
  <c r="M350" i="1"/>
  <c r="O349" i="1"/>
  <c r="O349" i="1" a="1"/>
  <c r="N349" i="1"/>
  <c r="M349" i="1"/>
  <c r="O348" i="1"/>
  <c r="O348" i="1" a="1"/>
  <c r="N348" i="1"/>
  <c r="M348" i="1"/>
  <c r="O347" i="1"/>
  <c r="O347" i="1" a="1"/>
  <c r="N347" i="1"/>
  <c r="M347" i="1"/>
  <c r="O346" i="1"/>
  <c r="O346" i="1" a="1"/>
  <c r="N346" i="1"/>
  <c r="M346" i="1"/>
  <c r="O345" i="1"/>
  <c r="O345" i="1" a="1"/>
  <c r="N345" i="1"/>
  <c r="M345" i="1"/>
  <c r="O344" i="1"/>
  <c r="O344" i="1" a="1"/>
  <c r="N344" i="1"/>
  <c r="M344" i="1"/>
  <c r="O343" i="1"/>
  <c r="O343" i="1" a="1"/>
  <c r="N343" i="1"/>
  <c r="M343" i="1"/>
  <c r="O342" i="1"/>
  <c r="O342" i="1" a="1"/>
  <c r="N342" i="1"/>
  <c r="M342" i="1"/>
  <c r="O341" i="1"/>
  <c r="O341" i="1" a="1"/>
  <c r="N341" i="1"/>
  <c r="M341" i="1"/>
  <c r="O340" i="1"/>
  <c r="O340" i="1" a="1"/>
  <c r="N340" i="1"/>
  <c r="M340" i="1"/>
  <c r="O339" i="1"/>
  <c r="O339" i="1" a="1"/>
  <c r="N339" i="1"/>
  <c r="M339" i="1"/>
  <c r="O338" i="1"/>
  <c r="O338" i="1" a="1"/>
  <c r="N338" i="1"/>
  <c r="M338" i="1"/>
  <c r="O337" i="1"/>
  <c r="O337" i="1" a="1"/>
  <c r="N337" i="1"/>
  <c r="M337" i="1"/>
  <c r="O336" i="1"/>
  <c r="O336" i="1" a="1"/>
  <c r="N336" i="1"/>
  <c r="M336" i="1"/>
  <c r="O335" i="1"/>
  <c r="O335" i="1" a="1"/>
  <c r="N335" i="1"/>
  <c r="M335" i="1"/>
  <c r="O334" i="1"/>
  <c r="O334" i="1" a="1"/>
  <c r="N334" i="1"/>
  <c r="M334" i="1"/>
  <c r="O333" i="1"/>
  <c r="O333" i="1" a="1"/>
  <c r="N333" i="1"/>
  <c r="M333" i="1"/>
  <c r="O332" i="1"/>
  <c r="O332" i="1" a="1"/>
  <c r="N332" i="1"/>
  <c r="M332" i="1"/>
  <c r="O331" i="1"/>
  <c r="O331" i="1" a="1"/>
  <c r="N331" i="1"/>
  <c r="M331" i="1"/>
  <c r="O330" i="1"/>
  <c r="O330" i="1" a="1"/>
  <c r="N330" i="1"/>
  <c r="M330" i="1"/>
  <c r="O329" i="1"/>
  <c r="O329" i="1" a="1"/>
  <c r="N329" i="1"/>
  <c r="M329" i="1"/>
  <c r="O328" i="1"/>
  <c r="O328" i="1" a="1"/>
  <c r="N328" i="1"/>
  <c r="M328" i="1"/>
  <c r="O327" i="1"/>
  <c r="O327" i="1" a="1"/>
  <c r="N327" i="1"/>
  <c r="M327" i="1"/>
  <c r="O326" i="1"/>
  <c r="O326" i="1" a="1"/>
  <c r="N326" i="1"/>
  <c r="M326" i="1"/>
  <c r="O325" i="1"/>
  <c r="O325" i="1" a="1"/>
  <c r="N325" i="1"/>
  <c r="M325" i="1"/>
  <c r="O324" i="1"/>
  <c r="O324" i="1" a="1"/>
  <c r="N324" i="1"/>
  <c r="M324" i="1"/>
  <c r="O323" i="1"/>
  <c r="O323" i="1" a="1"/>
  <c r="N323" i="1"/>
  <c r="M323" i="1"/>
  <c r="O322" i="1"/>
  <c r="O322" i="1" a="1"/>
  <c r="N322" i="1"/>
  <c r="M322" i="1"/>
  <c r="O321" i="1"/>
  <c r="O321" i="1" a="1"/>
  <c r="N321" i="1"/>
  <c r="M321" i="1"/>
  <c r="O320" i="1"/>
  <c r="O320" i="1" a="1"/>
  <c r="N320" i="1"/>
  <c r="M320" i="1"/>
  <c r="O319" i="1"/>
  <c r="O319" i="1" a="1"/>
  <c r="N319" i="1"/>
  <c r="M319" i="1"/>
  <c r="O318" i="1"/>
  <c r="O318" i="1" a="1"/>
  <c r="N318" i="1"/>
  <c r="M318" i="1"/>
  <c r="O317" i="1"/>
  <c r="O317" i="1" a="1"/>
  <c r="N317" i="1"/>
  <c r="M317" i="1"/>
  <c r="O316" i="1"/>
  <c r="O316" i="1" a="1"/>
  <c r="N316" i="1"/>
  <c r="M316" i="1"/>
  <c r="O315" i="1"/>
  <c r="O315" i="1" a="1"/>
  <c r="N315" i="1"/>
  <c r="M315" i="1"/>
  <c r="O314" i="1"/>
  <c r="O314" i="1" a="1"/>
  <c r="N314" i="1"/>
  <c r="M314" i="1"/>
  <c r="O313" i="1"/>
  <c r="O313" i="1" a="1"/>
  <c r="N313" i="1"/>
  <c r="M313" i="1"/>
  <c r="O312" i="1"/>
  <c r="O312" i="1" a="1"/>
  <c r="N312" i="1"/>
  <c r="M312" i="1"/>
  <c r="O311" i="1"/>
  <c r="O311" i="1" a="1"/>
  <c r="N311" i="1"/>
  <c r="M311" i="1"/>
  <c r="O310" i="1"/>
  <c r="O310" i="1" a="1"/>
  <c r="N310" i="1"/>
  <c r="M310" i="1"/>
  <c r="O309" i="1"/>
  <c r="O309" i="1" a="1"/>
  <c r="N309" i="1"/>
  <c r="M309" i="1"/>
  <c r="O308" i="1"/>
  <c r="O308" i="1" a="1"/>
  <c r="N308" i="1"/>
  <c r="M308" i="1"/>
  <c r="O307" i="1"/>
  <c r="O307" i="1" a="1"/>
  <c r="N307" i="1"/>
  <c r="M307" i="1"/>
  <c r="O306" i="1"/>
  <c r="O306" i="1" a="1"/>
  <c r="N306" i="1"/>
  <c r="M306" i="1"/>
  <c r="O305" i="1"/>
  <c r="O305" i="1" a="1"/>
  <c r="N305" i="1"/>
  <c r="M305" i="1"/>
  <c r="O304" i="1"/>
  <c r="O304" i="1" a="1"/>
  <c r="N304" i="1"/>
  <c r="M304" i="1"/>
  <c r="O303" i="1"/>
  <c r="O303" i="1" a="1"/>
  <c r="N303" i="1"/>
  <c r="M303" i="1"/>
  <c r="O302" i="1"/>
  <c r="O302" i="1" a="1"/>
  <c r="N302" i="1"/>
  <c r="M302" i="1"/>
  <c r="O301" i="1"/>
  <c r="O301" i="1" a="1"/>
  <c r="N301" i="1"/>
  <c r="M301" i="1"/>
  <c r="O300" i="1"/>
  <c r="O300" i="1" a="1"/>
  <c r="N300" i="1"/>
  <c r="M300" i="1"/>
  <c r="O299" i="1"/>
  <c r="O299" i="1" a="1"/>
  <c r="N299" i="1"/>
  <c r="M299" i="1"/>
  <c r="O298" i="1"/>
  <c r="O298" i="1" a="1"/>
  <c r="N298" i="1"/>
  <c r="M298" i="1"/>
  <c r="O297" i="1"/>
  <c r="O297" i="1" a="1"/>
  <c r="N297" i="1"/>
  <c r="M297" i="1"/>
  <c r="O296" i="1"/>
  <c r="O296" i="1" a="1"/>
  <c r="N296" i="1"/>
  <c r="M296" i="1"/>
  <c r="O295" i="1"/>
  <c r="O295" i="1" a="1"/>
  <c r="N295" i="1"/>
  <c r="M295" i="1"/>
  <c r="O294" i="1"/>
  <c r="O294" i="1" a="1"/>
  <c r="N294" i="1"/>
  <c r="M294" i="1"/>
  <c r="O293" i="1"/>
  <c r="O293" i="1" a="1"/>
  <c r="N293" i="1"/>
  <c r="M293" i="1"/>
  <c r="O292" i="1"/>
  <c r="O292" i="1" a="1"/>
  <c r="N292" i="1"/>
  <c r="M292" i="1"/>
  <c r="O291" i="1"/>
  <c r="O291" i="1" a="1"/>
  <c r="N291" i="1"/>
  <c r="M291" i="1"/>
  <c r="O290" i="1"/>
  <c r="O290" i="1" a="1"/>
  <c r="N290" i="1"/>
  <c r="M290" i="1"/>
  <c r="O289" i="1"/>
  <c r="O289" i="1" a="1"/>
  <c r="N289" i="1"/>
  <c r="M289" i="1"/>
  <c r="O288" i="1"/>
  <c r="O288" i="1" a="1"/>
  <c r="N288" i="1"/>
  <c r="M288" i="1"/>
  <c r="O287" i="1"/>
  <c r="O287" i="1" a="1"/>
  <c r="N287" i="1"/>
  <c r="M287" i="1"/>
  <c r="O286" i="1"/>
  <c r="O286" i="1" a="1"/>
  <c r="N286" i="1"/>
  <c r="M286" i="1"/>
  <c r="O285" i="1"/>
  <c r="O285" i="1" a="1"/>
  <c r="N285" i="1"/>
  <c r="M285" i="1"/>
  <c r="O284" i="1"/>
  <c r="O284" i="1" a="1"/>
  <c r="N284" i="1"/>
  <c r="M284" i="1"/>
  <c r="O283" i="1"/>
  <c r="O283" i="1" a="1"/>
  <c r="N283" i="1"/>
  <c r="M283" i="1"/>
  <c r="O282" i="1"/>
  <c r="O282" i="1" a="1"/>
  <c r="N282" i="1"/>
  <c r="M282" i="1"/>
  <c r="O281" i="1"/>
  <c r="O281" i="1" a="1"/>
  <c r="N281" i="1"/>
  <c r="M281" i="1"/>
  <c r="O280" i="1"/>
  <c r="O280" i="1" a="1"/>
  <c r="N280" i="1"/>
  <c r="M280" i="1"/>
  <c r="O279" i="1"/>
  <c r="O279" i="1" a="1"/>
  <c r="N279" i="1"/>
  <c r="M279" i="1"/>
  <c r="O278" i="1"/>
  <c r="O278" i="1" a="1"/>
  <c r="N278" i="1"/>
  <c r="M278" i="1"/>
  <c r="O277" i="1"/>
  <c r="O277" i="1" a="1"/>
  <c r="N277" i="1"/>
  <c r="M277" i="1"/>
  <c r="O276" i="1"/>
  <c r="O276" i="1" a="1"/>
  <c r="N276" i="1"/>
  <c r="M276" i="1"/>
  <c r="O275" i="1"/>
  <c r="O275" i="1" a="1"/>
  <c r="N275" i="1"/>
  <c r="M275" i="1"/>
  <c r="O274" i="1"/>
  <c r="O274" i="1" a="1"/>
  <c r="N274" i="1"/>
  <c r="M274" i="1"/>
  <c r="O273" i="1"/>
  <c r="O273" i="1" a="1"/>
  <c r="N273" i="1"/>
  <c r="M273" i="1"/>
  <c r="O272" i="1"/>
  <c r="O272" i="1" a="1"/>
  <c r="N272" i="1"/>
  <c r="M272" i="1"/>
  <c r="O271" i="1"/>
  <c r="O271" i="1" a="1"/>
  <c r="N271" i="1"/>
  <c r="M271" i="1"/>
  <c r="O270" i="1"/>
  <c r="O270" i="1" a="1"/>
  <c r="N270" i="1"/>
  <c r="M270" i="1"/>
  <c r="O269" i="1"/>
  <c r="O269" i="1" a="1"/>
  <c r="N269" i="1"/>
  <c r="M269" i="1"/>
  <c r="O268" i="1"/>
  <c r="O268" i="1" a="1"/>
  <c r="N268" i="1"/>
  <c r="M268" i="1"/>
  <c r="O267" i="1"/>
  <c r="O267" i="1" a="1"/>
  <c r="N267" i="1"/>
  <c r="M267" i="1"/>
  <c r="O266" i="1"/>
  <c r="O266" i="1" a="1"/>
  <c r="N266" i="1"/>
  <c r="M266" i="1"/>
  <c r="O265" i="1"/>
  <c r="O265" i="1" a="1"/>
  <c r="N265" i="1"/>
  <c r="M265" i="1"/>
  <c r="O264" i="1"/>
  <c r="O264" i="1" a="1"/>
  <c r="N264" i="1"/>
  <c r="M264" i="1"/>
  <c r="O263" i="1"/>
  <c r="O263" i="1" a="1"/>
  <c r="N263" i="1"/>
  <c r="M263" i="1"/>
  <c r="O262" i="1"/>
  <c r="O262" i="1" a="1"/>
  <c r="N262" i="1"/>
  <c r="M262" i="1"/>
  <c r="O261" i="1"/>
  <c r="O261" i="1" a="1"/>
  <c r="N261" i="1"/>
  <c r="M261" i="1"/>
  <c r="O260" i="1"/>
  <c r="O260" i="1" a="1"/>
  <c r="N260" i="1"/>
  <c r="M260" i="1"/>
  <c r="O259" i="1"/>
  <c r="O259" i="1" a="1"/>
  <c r="N259" i="1"/>
  <c r="M259" i="1"/>
  <c r="O258" i="1"/>
  <c r="O258" i="1" a="1"/>
  <c r="N258" i="1"/>
  <c r="M258" i="1"/>
  <c r="O257" i="1"/>
  <c r="O257" i="1" a="1"/>
  <c r="N257" i="1"/>
  <c r="M257" i="1"/>
  <c r="O256" i="1"/>
  <c r="O256" i="1" a="1"/>
  <c r="N256" i="1"/>
  <c r="M256" i="1"/>
  <c r="O255" i="1"/>
  <c r="O255" i="1" a="1"/>
  <c r="N255" i="1"/>
  <c r="M255" i="1"/>
  <c r="O254" i="1"/>
  <c r="O254" i="1" a="1"/>
  <c r="N254" i="1"/>
  <c r="M254" i="1"/>
  <c r="O253" i="1"/>
  <c r="O253" i="1" a="1"/>
  <c r="N253" i="1"/>
  <c r="M253" i="1"/>
  <c r="O252" i="1"/>
  <c r="O252" i="1" a="1"/>
  <c r="N252" i="1"/>
  <c r="M252" i="1"/>
  <c r="O251" i="1"/>
  <c r="O251" i="1" a="1"/>
  <c r="N251" i="1"/>
  <c r="M251" i="1"/>
  <c r="O250" i="1"/>
  <c r="O250" i="1" a="1"/>
  <c r="N250" i="1"/>
  <c r="M250" i="1"/>
  <c r="O249" i="1"/>
  <c r="O249" i="1" a="1"/>
  <c r="N249" i="1"/>
  <c r="M249" i="1"/>
  <c r="O248" i="1"/>
  <c r="O248" i="1" a="1"/>
  <c r="N248" i="1"/>
  <c r="M248" i="1"/>
  <c r="O247" i="1"/>
  <c r="O247" i="1" a="1"/>
  <c r="N247" i="1"/>
  <c r="M247" i="1"/>
  <c r="O246" i="1"/>
  <c r="O246" i="1" a="1"/>
  <c r="N246" i="1"/>
  <c r="M246" i="1"/>
  <c r="O245" i="1"/>
  <c r="O245" i="1" a="1"/>
  <c r="N245" i="1"/>
  <c r="M245" i="1"/>
  <c r="O244" i="1"/>
  <c r="O244" i="1" a="1"/>
  <c r="N244" i="1"/>
  <c r="M244" i="1"/>
  <c r="O243" i="1"/>
  <c r="O243" i="1" a="1"/>
  <c r="N243" i="1"/>
  <c r="M243" i="1"/>
  <c r="O242" i="1"/>
  <c r="O242" i="1" a="1"/>
  <c r="N242" i="1"/>
  <c r="M242" i="1"/>
  <c r="O241" i="1"/>
  <c r="O241" i="1" a="1"/>
  <c r="N241" i="1"/>
  <c r="M241" i="1"/>
  <c r="O240" i="1"/>
  <c r="O240" i="1" a="1"/>
  <c r="N240" i="1"/>
  <c r="M240" i="1"/>
  <c r="O239" i="1"/>
  <c r="O239" i="1" a="1"/>
  <c r="N239" i="1"/>
  <c r="M239" i="1"/>
  <c r="O238" i="1"/>
  <c r="O238" i="1" a="1"/>
  <c r="N238" i="1"/>
  <c r="M238" i="1"/>
  <c r="O237" i="1"/>
  <c r="O237" i="1" a="1"/>
  <c r="N237" i="1"/>
  <c r="M237" i="1"/>
  <c r="O236" i="1"/>
  <c r="O236" i="1" a="1"/>
  <c r="N236" i="1"/>
  <c r="M236" i="1"/>
  <c r="O235" i="1"/>
  <c r="O235" i="1" a="1"/>
  <c r="N235" i="1"/>
  <c r="M235" i="1"/>
  <c r="O234" i="1"/>
  <c r="O234" i="1" a="1"/>
  <c r="N234" i="1"/>
  <c r="M234" i="1"/>
  <c r="O233" i="1"/>
  <c r="O233" i="1" a="1"/>
  <c r="N233" i="1"/>
  <c r="M233" i="1"/>
  <c r="O232" i="1"/>
  <c r="O232" i="1" a="1"/>
  <c r="N232" i="1"/>
  <c r="M232" i="1"/>
  <c r="O231" i="1"/>
  <c r="O231" i="1" a="1"/>
  <c r="N231" i="1"/>
  <c r="M231" i="1"/>
  <c r="O230" i="1"/>
  <c r="O230" i="1" a="1"/>
  <c r="N230" i="1"/>
  <c r="M230" i="1"/>
  <c r="O229" i="1"/>
  <c r="O229" i="1" a="1"/>
  <c r="N229" i="1"/>
  <c r="M229" i="1"/>
  <c r="O228" i="1"/>
  <c r="O228" i="1" a="1"/>
  <c r="N228" i="1"/>
  <c r="M228" i="1"/>
  <c r="O227" i="1"/>
  <c r="O227" i="1" a="1"/>
  <c r="N227" i="1"/>
  <c r="M227" i="1"/>
  <c r="O226" i="1"/>
  <c r="O226" i="1" a="1"/>
  <c r="N226" i="1"/>
  <c r="M226" i="1"/>
  <c r="O225" i="1"/>
  <c r="O225" i="1" a="1"/>
  <c r="N225" i="1"/>
  <c r="M225" i="1"/>
  <c r="O224" i="1"/>
  <c r="O224" i="1" a="1"/>
  <c r="N224" i="1"/>
  <c r="M224" i="1"/>
  <c r="O223" i="1"/>
  <c r="O223" i="1" a="1"/>
  <c r="N223" i="1"/>
  <c r="M223" i="1"/>
  <c r="O222" i="1"/>
  <c r="O222" i="1" a="1"/>
  <c r="N222" i="1"/>
  <c r="M222" i="1"/>
  <c r="O221" i="1"/>
  <c r="O221" i="1" a="1"/>
  <c r="N221" i="1"/>
  <c r="M221" i="1"/>
  <c r="O220" i="1"/>
  <c r="O220" i="1" a="1"/>
  <c r="N220" i="1"/>
  <c r="M220" i="1"/>
  <c r="O219" i="1"/>
  <c r="O219" i="1" a="1"/>
  <c r="N219" i="1"/>
  <c r="M219" i="1"/>
  <c r="O218" i="1"/>
  <c r="O218" i="1" a="1"/>
  <c r="N218" i="1"/>
  <c r="M218" i="1"/>
  <c r="O217" i="1"/>
  <c r="O217" i="1" a="1"/>
  <c r="N217" i="1"/>
  <c r="M217" i="1"/>
  <c r="O216" i="1"/>
  <c r="O216" i="1" a="1"/>
  <c r="N216" i="1"/>
  <c r="M216" i="1"/>
  <c r="O215" i="1"/>
  <c r="O215" i="1" a="1"/>
  <c r="N215" i="1"/>
  <c r="M215" i="1"/>
  <c r="O214" i="1"/>
  <c r="O214" i="1" a="1"/>
  <c r="N214" i="1"/>
  <c r="M214" i="1"/>
  <c r="O213" i="1"/>
  <c r="O213" i="1" a="1"/>
  <c r="N213" i="1"/>
  <c r="M213" i="1"/>
  <c r="O212" i="1"/>
  <c r="O212" i="1" a="1"/>
  <c r="N212" i="1"/>
  <c r="M212" i="1"/>
  <c r="O211" i="1"/>
  <c r="O211" i="1" a="1"/>
  <c r="N211" i="1"/>
  <c r="M211" i="1"/>
  <c r="O210" i="1"/>
  <c r="O210" i="1" a="1"/>
  <c r="N210" i="1"/>
  <c r="M210" i="1"/>
  <c r="O209" i="1"/>
  <c r="O209" i="1" a="1"/>
  <c r="N209" i="1"/>
  <c r="M209" i="1"/>
  <c r="O208" i="1"/>
  <c r="O208" i="1" a="1"/>
  <c r="N208" i="1"/>
  <c r="M208" i="1"/>
  <c r="O207" i="1"/>
  <c r="O207" i="1" a="1"/>
  <c r="N207" i="1"/>
  <c r="M207" i="1"/>
  <c r="O206" i="1"/>
  <c r="O206" i="1" a="1"/>
  <c r="N206" i="1"/>
  <c r="M206" i="1"/>
  <c r="O205" i="1"/>
  <c r="O205" i="1" a="1"/>
  <c r="N205" i="1"/>
  <c r="M205" i="1"/>
  <c r="O204" i="1"/>
  <c r="O204" i="1" a="1"/>
  <c r="N204" i="1"/>
  <c r="M204" i="1"/>
  <c r="O203" i="1"/>
  <c r="O203" i="1" a="1"/>
  <c r="N203" i="1"/>
  <c r="M203" i="1"/>
  <c r="O202" i="1"/>
  <c r="O202" i="1" a="1"/>
  <c r="N202" i="1"/>
  <c r="M202" i="1"/>
  <c r="O201" i="1"/>
  <c r="O201" i="1" a="1"/>
  <c r="N201" i="1"/>
  <c r="M201" i="1"/>
  <c r="O200" i="1"/>
  <c r="O200" i="1" a="1"/>
  <c r="N200" i="1"/>
  <c r="M200" i="1"/>
  <c r="O199" i="1"/>
  <c r="O199" i="1" a="1"/>
  <c r="N199" i="1"/>
  <c r="M199" i="1"/>
  <c r="O198" i="1"/>
  <c r="O198" i="1" a="1"/>
  <c r="N198" i="1"/>
  <c r="M198" i="1"/>
  <c r="O197" i="1"/>
  <c r="O197" i="1" a="1"/>
  <c r="N197" i="1"/>
  <c r="M197" i="1"/>
  <c r="O196" i="1"/>
  <c r="O196" i="1" a="1"/>
  <c r="N196" i="1"/>
  <c r="M196" i="1"/>
  <c r="O195" i="1"/>
  <c r="O195" i="1" a="1"/>
  <c r="N195" i="1"/>
  <c r="M195" i="1"/>
  <c r="O194" i="1"/>
  <c r="O194" i="1" a="1"/>
  <c r="N194" i="1"/>
  <c r="M194" i="1"/>
  <c r="O193" i="1"/>
  <c r="O193" i="1" a="1"/>
  <c r="N193" i="1"/>
  <c r="M193" i="1"/>
  <c r="O192" i="1"/>
  <c r="O192" i="1" a="1"/>
  <c r="N192" i="1"/>
  <c r="M192" i="1"/>
  <c r="O191" i="1"/>
  <c r="O191" i="1" a="1"/>
  <c r="N191" i="1"/>
  <c r="M191" i="1"/>
  <c r="O190" i="1"/>
  <c r="O190" i="1" a="1"/>
  <c r="N190" i="1"/>
  <c r="M190" i="1"/>
  <c r="O189" i="1"/>
  <c r="O189" i="1" a="1"/>
  <c r="N189" i="1"/>
  <c r="M189" i="1"/>
  <c r="O188" i="1"/>
  <c r="O188" i="1" a="1"/>
  <c r="N188" i="1"/>
  <c r="M188" i="1"/>
  <c r="O187" i="1"/>
  <c r="O187" i="1" a="1"/>
  <c r="N187" i="1"/>
  <c r="M187" i="1"/>
  <c r="O186" i="1"/>
  <c r="O186" i="1" a="1"/>
  <c r="N186" i="1"/>
  <c r="M186" i="1"/>
  <c r="O185" i="1"/>
  <c r="O185" i="1" a="1"/>
  <c r="N185" i="1"/>
  <c r="M185" i="1"/>
  <c r="O184" i="1"/>
  <c r="O184" i="1" a="1"/>
  <c r="N184" i="1"/>
  <c r="M184" i="1"/>
  <c r="O183" i="1"/>
  <c r="O183" i="1" a="1"/>
  <c r="N183" i="1"/>
  <c r="M183" i="1"/>
  <c r="O182" i="1"/>
  <c r="O182" i="1" a="1"/>
  <c r="N182" i="1"/>
  <c r="M182" i="1"/>
  <c r="O181" i="1"/>
  <c r="O181" i="1" a="1"/>
  <c r="N181" i="1"/>
  <c r="M181" i="1"/>
  <c r="O180" i="1"/>
  <c r="O180" i="1" a="1"/>
  <c r="N180" i="1"/>
  <c r="M180" i="1"/>
  <c r="O179" i="1"/>
  <c r="O179" i="1" a="1"/>
  <c r="N179" i="1"/>
  <c r="M179" i="1"/>
  <c r="O178" i="1"/>
  <c r="O178" i="1" a="1"/>
  <c r="N178" i="1"/>
  <c r="M178" i="1"/>
  <c r="O177" i="1"/>
  <c r="O177" i="1" a="1"/>
  <c r="N177" i="1"/>
  <c r="M177" i="1"/>
  <c r="O176" i="1"/>
  <c r="O176" i="1" a="1"/>
  <c r="N176" i="1"/>
  <c r="M176" i="1"/>
  <c r="O175" i="1"/>
  <c r="O175" i="1" a="1"/>
  <c r="N175" i="1"/>
  <c r="M175" i="1"/>
  <c r="O174" i="1"/>
  <c r="O174" i="1" a="1"/>
  <c r="N174" i="1"/>
  <c r="M174" i="1"/>
  <c r="O173" i="1"/>
  <c r="O173" i="1" a="1"/>
  <c r="N173" i="1"/>
  <c r="M173" i="1"/>
  <c r="O172" i="1"/>
  <c r="O172" i="1" a="1"/>
  <c r="N172" i="1"/>
  <c r="M172" i="1"/>
  <c r="O171" i="1"/>
  <c r="O171" i="1" a="1"/>
  <c r="N171" i="1"/>
  <c r="M171" i="1"/>
  <c r="O170" i="1"/>
  <c r="O170" i="1" a="1"/>
  <c r="N170" i="1"/>
  <c r="M170" i="1"/>
  <c r="O169" i="1"/>
  <c r="O169" i="1" a="1"/>
  <c r="N169" i="1"/>
  <c r="M169" i="1"/>
  <c r="O168" i="1"/>
  <c r="O168" i="1" a="1"/>
  <c r="N168" i="1"/>
  <c r="M168" i="1"/>
  <c r="O167" i="1"/>
  <c r="O167" i="1" a="1"/>
  <c r="N167" i="1"/>
  <c r="M167" i="1"/>
  <c r="O166" i="1"/>
  <c r="O166" i="1" a="1"/>
  <c r="N166" i="1"/>
  <c r="M166" i="1"/>
  <c r="O165" i="1"/>
  <c r="O165" i="1" a="1"/>
  <c r="N165" i="1"/>
  <c r="M165" i="1"/>
  <c r="O164" i="1"/>
  <c r="O164" i="1" a="1"/>
  <c r="N164" i="1"/>
  <c r="M164" i="1"/>
  <c r="O163" i="1"/>
  <c r="O163" i="1" a="1"/>
  <c r="N163" i="1"/>
  <c r="M163" i="1"/>
  <c r="O162" i="1"/>
  <c r="O162" i="1" a="1"/>
  <c r="N162" i="1"/>
  <c r="M162" i="1"/>
  <c r="O161" i="1"/>
  <c r="O161" i="1" a="1"/>
  <c r="N161" i="1"/>
  <c r="M161" i="1"/>
  <c r="O160" i="1"/>
  <c r="O160" i="1" a="1"/>
  <c r="N160" i="1"/>
  <c r="M160" i="1"/>
  <c r="O159" i="1"/>
  <c r="O159" i="1" a="1"/>
  <c r="N159" i="1"/>
  <c r="M159" i="1"/>
  <c r="O158" i="1"/>
  <c r="O158" i="1" a="1"/>
  <c r="N158" i="1"/>
  <c r="M158" i="1"/>
  <c r="O157" i="1"/>
  <c r="O157" i="1" a="1"/>
  <c r="N157" i="1"/>
  <c r="M157" i="1"/>
  <c r="O156" i="1"/>
  <c r="O156" i="1" a="1"/>
  <c r="N156" i="1"/>
  <c r="M156" i="1"/>
  <c r="O155" i="1"/>
  <c r="O155" i="1" a="1"/>
  <c r="N155" i="1"/>
  <c r="M155" i="1"/>
  <c r="O154" i="1"/>
  <c r="O154" i="1" a="1"/>
  <c r="N154" i="1"/>
  <c r="M154" i="1"/>
  <c r="O153" i="1"/>
  <c r="O153" i="1" a="1"/>
  <c r="N153" i="1"/>
  <c r="M153" i="1"/>
  <c r="O152" i="1"/>
  <c r="O152" i="1" a="1"/>
  <c r="N152" i="1"/>
  <c r="M152" i="1"/>
  <c r="O151" i="1"/>
  <c r="O151" i="1" a="1"/>
  <c r="N151" i="1"/>
  <c r="M151" i="1"/>
  <c r="O150" i="1"/>
  <c r="O150" i="1" a="1"/>
  <c r="N150" i="1"/>
  <c r="M150" i="1"/>
  <c r="O149" i="1"/>
  <c r="O149" i="1" a="1"/>
  <c r="N149" i="1"/>
  <c r="M149" i="1"/>
  <c r="O148" i="1"/>
  <c r="O148" i="1" a="1"/>
  <c r="N148" i="1"/>
  <c r="M148" i="1"/>
  <c r="O147" i="1"/>
  <c r="O147" i="1" a="1"/>
  <c r="N147" i="1"/>
  <c r="M147" i="1"/>
  <c r="O146" i="1"/>
  <c r="O146" i="1" a="1"/>
  <c r="N146" i="1"/>
  <c r="M146" i="1"/>
  <c r="O145" i="1"/>
  <c r="O145" i="1" a="1"/>
  <c r="N145" i="1"/>
  <c r="M145" i="1"/>
  <c r="O144" i="1"/>
  <c r="O144" i="1" a="1"/>
  <c r="N144" i="1"/>
  <c r="M144" i="1"/>
  <c r="O143" i="1"/>
  <c r="O143" i="1" a="1"/>
  <c r="N143" i="1"/>
  <c r="M143" i="1"/>
  <c r="O142" i="1"/>
  <c r="O142" i="1" a="1"/>
  <c r="N142" i="1"/>
  <c r="M142" i="1"/>
  <c r="O141" i="1"/>
  <c r="O141" i="1" a="1"/>
  <c r="N141" i="1"/>
  <c r="M141" i="1"/>
  <c r="O140" i="1"/>
  <c r="O140" i="1" a="1"/>
  <c r="N140" i="1"/>
  <c r="M140" i="1"/>
  <c r="O139" i="1"/>
  <c r="O139" i="1" a="1"/>
  <c r="N139" i="1"/>
  <c r="M139" i="1"/>
  <c r="O138" i="1"/>
  <c r="O138" i="1" a="1"/>
  <c r="N138" i="1"/>
  <c r="M138" i="1"/>
  <c r="O137" i="1"/>
  <c r="O137" i="1" a="1"/>
  <c r="N137" i="1"/>
  <c r="M137" i="1"/>
  <c r="O136" i="1"/>
  <c r="O136" i="1" a="1"/>
  <c r="N136" i="1"/>
  <c r="M136" i="1"/>
  <c r="O135" i="1"/>
  <c r="O135" i="1" a="1"/>
  <c r="N135" i="1"/>
  <c r="M135" i="1"/>
  <c r="O134" i="1"/>
  <c r="O134" i="1" a="1"/>
  <c r="N134" i="1"/>
  <c r="M134" i="1"/>
  <c r="O133" i="1"/>
  <c r="O133" i="1" a="1"/>
  <c r="N133" i="1"/>
  <c r="M133" i="1"/>
  <c r="O132" i="1"/>
  <c r="O132" i="1" a="1"/>
  <c r="N132" i="1"/>
  <c r="M132" i="1"/>
  <c r="O131" i="1"/>
  <c r="O131" i="1" a="1"/>
  <c r="N131" i="1"/>
  <c r="M131" i="1"/>
  <c r="O130" i="1"/>
  <c r="O130" i="1" a="1"/>
  <c r="N130" i="1"/>
  <c r="M130" i="1"/>
  <c r="O129" i="1"/>
  <c r="O129" i="1" a="1"/>
  <c r="N129" i="1"/>
  <c r="M129" i="1"/>
  <c r="O128" i="1"/>
  <c r="O128" i="1" a="1"/>
  <c r="N128" i="1"/>
  <c r="M128" i="1"/>
  <c r="O127" i="1"/>
  <c r="O127" i="1" a="1"/>
  <c r="N127" i="1"/>
  <c r="M127" i="1"/>
  <c r="O126" i="1"/>
  <c r="O126" i="1" a="1"/>
  <c r="N126" i="1"/>
  <c r="M126" i="1"/>
  <c r="O125" i="1"/>
  <c r="O125" i="1" a="1"/>
  <c r="N125" i="1"/>
  <c r="M125" i="1"/>
  <c r="O124" i="1"/>
  <c r="O124" i="1" a="1"/>
  <c r="N124" i="1"/>
  <c r="M124" i="1"/>
  <c r="O123" i="1"/>
  <c r="O123" i="1" a="1"/>
  <c r="N123" i="1"/>
  <c r="M123" i="1"/>
  <c r="O122" i="1"/>
  <c r="O122" i="1" a="1"/>
  <c r="N122" i="1"/>
  <c r="M122" i="1"/>
  <c r="O121" i="1"/>
  <c r="O121" i="1" a="1"/>
  <c r="N121" i="1"/>
  <c r="M121" i="1"/>
  <c r="O120" i="1"/>
  <c r="O120" i="1" a="1"/>
  <c r="N120" i="1"/>
  <c r="M120" i="1"/>
  <c r="O119" i="1"/>
  <c r="O119" i="1" a="1"/>
  <c r="N119" i="1"/>
  <c r="M119" i="1"/>
  <c r="O118" i="1"/>
  <c r="O118" i="1" a="1"/>
  <c r="N118" i="1"/>
  <c r="M118" i="1"/>
  <c r="O117" i="1"/>
  <c r="O117" i="1" a="1"/>
  <c r="N117" i="1"/>
  <c r="M117" i="1"/>
  <c r="O116" i="1"/>
  <c r="O116" i="1" a="1"/>
  <c r="N116" i="1"/>
  <c r="M116" i="1"/>
  <c r="O115" i="1"/>
  <c r="O115" i="1" a="1"/>
  <c r="N115" i="1"/>
  <c r="M115" i="1"/>
  <c r="O114" i="1"/>
  <c r="O114" i="1" a="1"/>
  <c r="N114" i="1"/>
  <c r="M114" i="1"/>
  <c r="O113" i="1"/>
  <c r="O113" i="1" a="1"/>
  <c r="N113" i="1"/>
  <c r="M113" i="1"/>
  <c r="O112" i="1"/>
  <c r="O112" i="1" a="1"/>
  <c r="N112" i="1"/>
  <c r="M112" i="1"/>
  <c r="O111" i="1"/>
  <c r="O111" i="1" a="1"/>
  <c r="N111" i="1"/>
  <c r="M111" i="1"/>
  <c r="O110" i="1"/>
  <c r="O110" i="1" a="1"/>
  <c r="N110" i="1"/>
  <c r="M110" i="1"/>
  <c r="O109" i="1"/>
  <c r="O109" i="1" a="1"/>
  <c r="N109" i="1"/>
  <c r="M109" i="1"/>
  <c r="O108" i="1"/>
  <c r="O108" i="1" a="1"/>
  <c r="N108" i="1"/>
  <c r="M108" i="1"/>
  <c r="O107" i="1"/>
  <c r="O107" i="1" a="1"/>
  <c r="N107" i="1"/>
  <c r="M107" i="1"/>
  <c r="O106" i="1"/>
  <c r="O106" i="1" a="1"/>
  <c r="N106" i="1"/>
  <c r="M106" i="1"/>
  <c r="O105" i="1"/>
  <c r="O105" i="1" a="1"/>
  <c r="N105" i="1"/>
  <c r="M105" i="1"/>
  <c r="O104" i="1"/>
  <c r="O104" i="1" a="1"/>
  <c r="N104" i="1"/>
  <c r="M104" i="1"/>
  <c r="O103" i="1"/>
  <c r="O103" i="1" a="1"/>
  <c r="N103" i="1"/>
  <c r="M103" i="1"/>
  <c r="O102" i="1"/>
  <c r="O102" i="1" a="1"/>
  <c r="N102" i="1"/>
  <c r="M102" i="1"/>
  <c r="O101" i="1"/>
  <c r="O101" i="1" a="1"/>
  <c r="N101" i="1"/>
  <c r="M101" i="1"/>
  <c r="O100" i="1"/>
  <c r="O100" i="1" a="1"/>
  <c r="N100" i="1"/>
  <c r="M100" i="1"/>
  <c r="O99" i="1"/>
  <c r="O99" i="1" a="1"/>
  <c r="N99" i="1"/>
  <c r="M99" i="1"/>
  <c r="O98" i="1"/>
  <c r="O98" i="1" a="1"/>
  <c r="N98" i="1"/>
  <c r="M98" i="1"/>
  <c r="O97" i="1"/>
  <c r="O97" i="1" a="1"/>
  <c r="N97" i="1"/>
  <c r="M97" i="1"/>
  <c r="O96" i="1"/>
  <c r="O96" i="1" a="1"/>
  <c r="N96" i="1"/>
  <c r="M96" i="1"/>
  <c r="O95" i="1"/>
  <c r="O95" i="1" a="1"/>
  <c r="N95" i="1"/>
  <c r="M95" i="1"/>
  <c r="O94" i="1"/>
  <c r="O94" i="1" a="1"/>
  <c r="N94" i="1"/>
  <c r="M94" i="1"/>
  <c r="O93" i="1"/>
  <c r="O93" i="1" a="1"/>
  <c r="N93" i="1"/>
  <c r="M93" i="1"/>
  <c r="O92" i="1"/>
  <c r="O92" i="1" a="1"/>
  <c r="N92" i="1"/>
  <c r="M92" i="1"/>
  <c r="O91" i="1"/>
  <c r="O91" i="1" a="1"/>
  <c r="N91" i="1"/>
  <c r="M91" i="1"/>
  <c r="O90" i="1"/>
  <c r="O90" i="1" a="1"/>
  <c r="N90" i="1"/>
  <c r="M90" i="1"/>
  <c r="O89" i="1"/>
  <c r="O89" i="1" a="1"/>
  <c r="N89" i="1"/>
  <c r="M89" i="1"/>
  <c r="O88" i="1"/>
  <c r="O88" i="1" a="1"/>
  <c r="N88" i="1"/>
  <c r="M88" i="1"/>
  <c r="O87" i="1"/>
  <c r="O87" i="1" a="1"/>
  <c r="N87" i="1"/>
  <c r="M87" i="1"/>
  <c r="O86" i="1"/>
  <c r="O86" i="1" a="1"/>
  <c r="N86" i="1"/>
  <c r="M86" i="1"/>
  <c r="O85" i="1"/>
  <c r="O85" i="1" a="1"/>
  <c r="N85" i="1"/>
  <c r="M85" i="1"/>
  <c r="O84" i="1"/>
  <c r="O84" i="1" a="1"/>
  <c r="N84" i="1"/>
  <c r="M84" i="1"/>
  <c r="O83" i="1"/>
  <c r="O83" i="1" a="1"/>
  <c r="N83" i="1"/>
  <c r="M83" i="1"/>
  <c r="O82" i="1"/>
  <c r="O82" i="1" a="1"/>
  <c r="N82" i="1"/>
  <c r="M82" i="1"/>
  <c r="O81" i="1"/>
  <c r="O81" i="1" a="1"/>
  <c r="N81" i="1"/>
  <c r="M81" i="1"/>
  <c r="O80" i="1"/>
  <c r="O80" i="1" a="1"/>
  <c r="N80" i="1"/>
  <c r="M80" i="1"/>
  <c r="O79" i="1"/>
  <c r="O79" i="1" a="1"/>
  <c r="N79" i="1"/>
  <c r="M79" i="1"/>
  <c r="O78" i="1"/>
  <c r="O78" i="1" a="1"/>
  <c r="N78" i="1"/>
  <c r="M78" i="1"/>
  <c r="O77" i="1"/>
  <c r="O77" i="1" a="1"/>
  <c r="N77" i="1"/>
  <c r="M77" i="1"/>
  <c r="O76" i="1"/>
  <c r="O76" i="1" a="1"/>
  <c r="N76" i="1"/>
  <c r="M76" i="1"/>
  <c r="O75" i="1"/>
  <c r="O75" i="1" a="1"/>
  <c r="N75" i="1"/>
  <c r="M75" i="1"/>
  <c r="O74" i="1"/>
  <c r="O74" i="1" a="1"/>
  <c r="N74" i="1"/>
  <c r="M74" i="1"/>
  <c r="O73" i="1"/>
  <c r="O73" i="1" a="1"/>
  <c r="N73" i="1"/>
  <c r="M73" i="1"/>
  <c r="O72" i="1"/>
  <c r="O72" i="1" a="1"/>
  <c r="N72" i="1"/>
  <c r="M72" i="1"/>
  <c r="O71" i="1"/>
  <c r="O71" i="1" a="1"/>
  <c r="N71" i="1"/>
  <c r="M71" i="1"/>
  <c r="O70" i="1"/>
  <c r="O70" i="1" a="1"/>
  <c r="N70" i="1"/>
  <c r="M70" i="1"/>
  <c r="O69" i="1"/>
  <c r="O69" i="1" a="1"/>
  <c r="N69" i="1"/>
  <c r="M69" i="1"/>
  <c r="O68" i="1"/>
  <c r="O68" i="1" a="1"/>
  <c r="N68" i="1"/>
  <c r="M68" i="1"/>
  <c r="O67" i="1"/>
  <c r="O67" i="1" a="1"/>
  <c r="N67" i="1"/>
  <c r="M67" i="1"/>
  <c r="O66" i="1"/>
  <c r="O66" i="1" a="1"/>
  <c r="N66" i="1"/>
  <c r="M66" i="1"/>
  <c r="O65" i="1"/>
  <c r="O65" i="1" a="1"/>
  <c r="N65" i="1"/>
  <c r="M65" i="1"/>
  <c r="O64" i="1"/>
  <c r="O64" i="1" a="1"/>
  <c r="N64" i="1"/>
  <c r="M64" i="1"/>
  <c r="O63" i="1"/>
  <c r="O63" i="1" a="1"/>
  <c r="N63" i="1"/>
  <c r="M63" i="1"/>
  <c r="O62" i="1"/>
  <c r="O62" i="1" a="1"/>
  <c r="N62" i="1"/>
  <c r="M62" i="1"/>
  <c r="O61" i="1"/>
  <c r="O61" i="1" a="1"/>
  <c r="N61" i="1"/>
  <c r="M61" i="1"/>
  <c r="O60" i="1"/>
  <c r="O60" i="1" a="1"/>
  <c r="N60" i="1"/>
  <c r="M60" i="1"/>
  <c r="O59" i="1"/>
  <c r="O59" i="1" a="1"/>
  <c r="N59" i="1"/>
  <c r="M59" i="1"/>
  <c r="O58" i="1"/>
  <c r="O58" i="1" a="1"/>
  <c r="N58" i="1"/>
  <c r="M58" i="1"/>
  <c r="O57" i="1"/>
  <c r="O57" i="1" a="1"/>
  <c r="N57" i="1"/>
  <c r="M57" i="1"/>
  <c r="O56" i="1"/>
  <c r="O56" i="1" a="1"/>
  <c r="N56" i="1"/>
  <c r="M56" i="1"/>
  <c r="O55" i="1"/>
  <c r="O55" i="1" a="1"/>
  <c r="N55" i="1"/>
  <c r="M55" i="1"/>
  <c r="O54" i="1"/>
  <c r="O54" i="1" a="1"/>
  <c r="N54" i="1"/>
  <c r="M54" i="1"/>
  <c r="O53" i="1"/>
  <c r="O53" i="1" a="1"/>
  <c r="N53" i="1"/>
  <c r="M53" i="1"/>
  <c r="O52" i="1"/>
  <c r="O52" i="1" a="1"/>
  <c r="N52" i="1"/>
  <c r="M52" i="1"/>
  <c r="O51" i="1"/>
  <c r="O51" i="1" a="1"/>
  <c r="N51" i="1"/>
  <c r="M51" i="1"/>
  <c r="O50" i="1"/>
  <c r="O50" i="1" a="1"/>
  <c r="N50" i="1"/>
  <c r="M50" i="1"/>
  <c r="O49" i="1"/>
  <c r="O49" i="1" a="1"/>
  <c r="N49" i="1"/>
  <c r="M49" i="1"/>
  <c r="O48" i="1"/>
  <c r="O48" i="1" a="1"/>
  <c r="N48" i="1"/>
  <c r="M48" i="1"/>
  <c r="O47" i="1"/>
  <c r="O47" i="1" a="1"/>
  <c r="N47" i="1"/>
  <c r="M47" i="1"/>
  <c r="O46" i="1"/>
  <c r="O46" i="1" a="1"/>
  <c r="N46" i="1"/>
  <c r="M46" i="1"/>
  <c r="O45" i="1"/>
  <c r="O45" i="1" a="1"/>
  <c r="N45" i="1"/>
  <c r="M45" i="1"/>
  <c r="O44" i="1"/>
  <c r="O44" i="1" a="1"/>
  <c r="N44" i="1"/>
  <c r="M44" i="1"/>
  <c r="O43" i="1"/>
  <c r="O43" i="1" a="1"/>
  <c r="N43" i="1"/>
  <c r="M43" i="1"/>
  <c r="O42" i="1"/>
  <c r="O42" i="1" a="1"/>
  <c r="N42" i="1"/>
  <c r="M42" i="1"/>
  <c r="O41" i="1"/>
  <c r="O41" i="1" a="1"/>
  <c r="N41" i="1"/>
  <c r="M41" i="1"/>
  <c r="O40" i="1"/>
  <c r="O40" i="1" a="1"/>
  <c r="N40" i="1"/>
  <c r="M40" i="1"/>
  <c r="O39" i="1"/>
  <c r="O39" i="1" a="1"/>
  <c r="N39" i="1"/>
  <c r="M39" i="1"/>
  <c r="O38" i="1"/>
  <c r="O38" i="1" a="1"/>
  <c r="N38" i="1"/>
  <c r="M38" i="1"/>
  <c r="O37" i="1"/>
  <c r="O37" i="1" a="1"/>
  <c r="N37" i="1"/>
  <c r="M37" i="1"/>
  <c r="O36" i="1"/>
  <c r="O36" i="1" a="1"/>
  <c r="N36" i="1"/>
  <c r="M36" i="1"/>
  <c r="O35" i="1"/>
  <c r="O35" i="1" a="1"/>
  <c r="N35" i="1"/>
  <c r="M35" i="1"/>
  <c r="O34" i="1"/>
  <c r="O34" i="1" a="1"/>
  <c r="N34" i="1"/>
  <c r="M34" i="1"/>
  <c r="O33" i="1"/>
  <c r="O33" i="1" a="1"/>
  <c r="N33" i="1"/>
  <c r="M33" i="1"/>
  <c r="O32" i="1"/>
  <c r="O32" i="1" a="1"/>
  <c r="N32" i="1"/>
  <c r="M32" i="1"/>
  <c r="O31" i="1"/>
  <c r="O31" i="1" a="1"/>
  <c r="N31" i="1"/>
  <c r="M31" i="1"/>
  <c r="O30" i="1"/>
  <c r="O30" i="1" a="1"/>
  <c r="N30" i="1"/>
  <c r="M30" i="1"/>
  <c r="O29" i="1"/>
  <c r="O29" i="1" a="1"/>
  <c r="N29" i="1"/>
  <c r="M29" i="1"/>
  <c r="O28" i="1"/>
  <c r="O28" i="1" a="1"/>
  <c r="N28" i="1"/>
  <c r="M28" i="1"/>
  <c r="O27" i="1"/>
  <c r="O27" i="1" a="1"/>
  <c r="N27" i="1"/>
  <c r="M27" i="1"/>
  <c r="O26" i="1"/>
  <c r="O26" i="1" a="1"/>
  <c r="N26" i="1"/>
  <c r="M26" i="1"/>
  <c r="O25" i="1"/>
  <c r="O25" i="1" a="1"/>
  <c r="N25" i="1"/>
  <c r="M25" i="1"/>
  <c r="O24" i="1"/>
  <c r="O24" i="1" a="1"/>
  <c r="N24" i="1"/>
  <c r="M24" i="1"/>
  <c r="O23" i="1"/>
  <c r="O23" i="1" a="1"/>
  <c r="N23" i="1"/>
  <c r="M23" i="1"/>
  <c r="O22" i="1"/>
  <c r="O22" i="1" a="1"/>
  <c r="N22" i="1"/>
  <c r="M22" i="1"/>
  <c r="O21" i="1"/>
  <c r="O21" i="1" a="1"/>
  <c r="N21" i="1"/>
  <c r="M21" i="1"/>
  <c r="O20" i="1"/>
  <c r="O20" i="1" a="1"/>
  <c r="N20" i="1"/>
  <c r="M20" i="1"/>
  <c r="O19" i="1"/>
  <c r="O19" i="1" a="1"/>
  <c r="N19" i="1"/>
  <c r="M19" i="1"/>
  <c r="O18" i="1"/>
  <c r="O18" i="1" a="1"/>
  <c r="N18" i="1"/>
  <c r="M18" i="1"/>
  <c r="O17" i="1"/>
  <c r="O17" i="1" a="1"/>
  <c r="N17" i="1"/>
  <c r="M17" i="1"/>
  <c r="O16" i="1"/>
  <c r="O16" i="1" a="1"/>
  <c r="N16" i="1"/>
  <c r="M16" i="1"/>
  <c r="O15" i="1"/>
  <c r="O15" i="1" a="1"/>
  <c r="N15" i="1"/>
  <c r="M15" i="1"/>
  <c r="O14" i="1"/>
  <c r="O14" i="1" a="1"/>
  <c r="N14" i="1"/>
  <c r="M14" i="1"/>
  <c r="O13" i="1"/>
  <c r="O13" i="1" a="1"/>
  <c r="N13" i="1"/>
  <c r="M13" i="1"/>
  <c r="O12" i="1"/>
  <c r="O12" i="1" a="1"/>
  <c r="N12" i="1"/>
  <c r="M12" i="1"/>
  <c r="O11" i="1"/>
  <c r="O11" i="1" a="1"/>
  <c r="N11" i="1"/>
  <c r="M11" i="1"/>
  <c r="O10" i="1"/>
  <c r="O10" i="1" a="1"/>
  <c r="N10" i="1"/>
  <c r="M10" i="1"/>
  <c r="O9" i="1"/>
  <c r="O9" i="1" a="1"/>
  <c r="N9" i="1"/>
  <c r="M9" i="1"/>
  <c r="O8" i="1"/>
  <c r="O8" i="1" a="1"/>
  <c r="N8" i="1"/>
  <c r="M8" i="1"/>
  <c r="O7" i="1"/>
  <c r="O7" i="1" a="1"/>
  <c r="N7" i="1"/>
  <c r="M7" i="1"/>
  <c r="O6" i="1"/>
  <c r="O6" i="1" a="1"/>
  <c r="N6" i="1"/>
  <c r="M6" i="1"/>
  <c r="O5" i="1"/>
  <c r="O5" i="1" a="1"/>
  <c r="N5" i="1"/>
  <c r="M5" i="1"/>
  <c r="O4" i="1"/>
  <c r="O4" i="1" a="1"/>
  <c r="N4" i="1"/>
  <c r="M4" i="1"/>
  <c r="O3" i="1"/>
  <c r="O3" i="1" a="1"/>
  <c r="N3" i="1"/>
  <c r="M3" i="1"/>
  <c r="O2" i="1"/>
  <c r="O2" i="1" a="1"/>
  <c r="N2" i="1"/>
  <c r="M2" i="1"/>
  <c r="K4" i="5"/>
  <c r="J4" i="5"/>
  <c r="H4" i="5"/>
  <c r="G4"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<sst xmlns="http://schemas.openxmlformats.org/spreadsheetml/2006/main" count="14865" uniqueCount="2543">
  <si>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</si>
  <si>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</si>
  <si>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</si>
  <si>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</si>
  <si>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</si>
  <si>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</si>
  <si>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</si>
  <si>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</si>
  <si>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</si>
  <si>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</si>
  <si>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</si>
  <si>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</si>
  <si>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</si>
  <si>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</si>
  <si>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</si>
  <si>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</si>
  <si>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</si>
  <si>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</si>
  <si>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</si>
  <si>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</si>
  <si>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</si>
  <si>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</si>
  <si>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</si>
  <si>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</si>
  <si>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</si>
  <si>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</si>
  <si>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</si>
  <si>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</si>
  <si>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</si>
  <si>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</si>
  <si>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</si>
  <si>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</si>
  <si>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</si>
  <si>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</si>
  <si>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</si>
  <si>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</si>
  <si>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</si>
  <si>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</si>
  <si>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</si>
  <si>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</si>
  <si>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</si>
  <si>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</si>
  <si>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</si>
  <si>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</si>
  <si>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</si>
  <si>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</si>
  <si>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</si>
  <si>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</si>
  <si>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</si>
  <si>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</si>
  <si>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</si>
  <si>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</si>
  <si>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</si>
  <si>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</si>
  <si>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</si>
  <si>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</si>
  <si>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</si>
  <si>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</si>
  <si>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</si>
  <si>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</si>
  <si>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</si>
  <si>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</si>
  <si>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</si>
  <si>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</si>
  <si>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</si>
  <si>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</si>
  <si>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</si>
  <si>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</si>
  <si>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</si>
  <si>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</si>
  <si>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</si>
  <si>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</si>
  <si>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</si>
  <si>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</si>
  <si>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</si>
  <si>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</si>
  <si>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</si>
  <si>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</si>
  <si>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</si>
  <si>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</si>
  <si>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</si>
  <si>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</si>
  <si>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</si>
  <si>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</si>
  <si>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</si>
  <si>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</si>
  <si>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</si>
  <si>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</si>
  <si>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</si>
  <si>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</si>
  <si>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</si>
  <si>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</si>
  <si>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</si>
  <si>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</si>
  <si>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</si>
  <si>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</si>
  <si>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</si>
  <si>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</si>
  <si>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</si>
  <si>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</si>
  <si>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</si>
  <si>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</si>
  <si>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</si>
  <si>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</si>
  <si>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</si>
  <si>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</si>
  <si>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</si>
  <si>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</si>
  <si>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</si>
  <si>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</si>
  <si>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</si>
  <si>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</si>
  <si>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</si>
  <si>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</si>
  <si>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</si>
  <si>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</si>
  <si>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</si>
  <si>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</si>
  <si>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</si>
  <si>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</si>
  <si>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</si>
  <si>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</si>
  <si>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</si>
  <si>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</si>
  <si>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</si>
  <si>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</si>
  <si>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</si>
  <si>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</si>
  <si>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</si>
  <si>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</si>
  <si>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</si>
  <si>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</si>
  <si>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</si>
  <si>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</si>
  <si>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</si>
  <si>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</si>
  <si>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</si>
  <si>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</si>
  <si>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</si>
  <si>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</si>
  <si>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</si>
  <si>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</si>
  <si>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</si>
  <si>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</si>
  <si>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</si>
  <si>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</si>
  <si>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</si>
  <si>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</si>
  <si>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</si>
  <si>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</si>
  <si>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</si>
  <si>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</si>
  <si>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</si>
  <si>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</si>
  <si>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</si>
  <si>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</si>
  <si>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</si>
  <si>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</si>
  <si>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</si>
  <si>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</si>
  <si>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</si>
  <si>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</si>
  <si>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</si>
  <si>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</si>
  <si>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</si>
  <si>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</si>
  <si>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</si>
  <si>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</si>
  <si>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</si>
  <si>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</si>
  <si>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</si>
  <si>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</si>
  <si>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</si>
  <si>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</si>
  <si>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</si>
  <si>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</si>
  <si>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</si>
  <si>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</si>
  <si>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</si>
  <si>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</si>
  <si>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</si>
  <si>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</si>
  <si>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</si>
  <si>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</si>
  <si>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</si>
  <si>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</si>
  <si>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</si>
  <si>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</si>
  <si>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</si>
  <si>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</si>
  <si>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</si>
  <si>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</si>
  <si>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</si>
  <si>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</si>
  <si>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</si>
  <si>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</si>
  <si>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</si>
  <si>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</si>
  <si>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</si>
  <si>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</si>
  <si>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</si>
  <si>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</si>
  <si>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</si>
  <si>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</si>
  <si>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</si>
  <si>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</si>
  <si>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</si>
  <si>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</si>
  <si>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</si>
  <si>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</si>
  <si>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</si>
  <si>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</si>
  <si>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</si>
  <si>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</si>
  <si>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</si>
  <si>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</si>
  <si>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</si>
  <si>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</si>
  <si>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</si>
  <si>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</si>
  <si>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</si>
  <si>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</si>
  <si>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</si>
  <si>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</si>
  <si>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</si>
  <si>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</si>
  <si>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</si>
  <si>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</si>
  <si>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</si>
  <si>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</si>
  <si>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</si>
  <si>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</si>
  <si>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</si>
  <si>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</si>
  <si>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</si>
  <si>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</si>
  <si>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</si>
  <si>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</si>
  <si>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</si>
  <si>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</si>
  <si>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</si>
  <si>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</si>
  <si>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</si>
  <si>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</si>
  <si>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</si>
  <si>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</si>
  <si>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</si>
  <si>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</si>
  <si>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</si>
  <si>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</si>
  <si>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</si>
  <si>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</si>
  <si>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</si>
  <si>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</si>
  <si>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</si>
  <si>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</si>
  <si>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</si>
  <si>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</si>
  <si>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</si>
  <si>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</si>
  <si>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</si>
  <si>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</si>
  <si>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</si>
  <si>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</si>
  <si>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</si>
  <si>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</si>
  <si>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</si>
  <si>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</si>
  <si>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</si>
  <si>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</si>
  <si>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</si>
  <si>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</si>
  <si>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</si>
  <si>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</si>
  <si>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</si>
  <si>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</si>
  <si>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</si>
  <si>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</si>
  <si>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</si>
  <si>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</si>
  <si>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</si>
  <si>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</si>
  <si>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</si>
  <si>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</si>
  <si>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</si>
  <si>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</si>
  <si>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</si>
  <si>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</si>
  <si>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</si>
  <si>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</si>
  <si>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</si>
  <si>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</si>
  <si>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</si>
  <si>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</si>
  <si>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</si>
  <si>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</si>
  <si>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</si>
  <si>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</si>
  <si>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</si>
  <si>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</si>
  <si>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</si>
  <si>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</si>
  <si>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</si>
  <si>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</si>
  <si>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</si>
  <si>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</si>
  <si>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</si>
  <si>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</si>
  <si>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</si>
  <si>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</si>
  <si>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</si>
  <si>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</si>
  <si>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</si>
  <si>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</si>
  <si>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</si>
  <si>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</si>
  <si>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</si>
  <si>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</si>
  <si>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</si>
  <si>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</si>
  <si>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</si>
  <si>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</si>
  <si>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</si>
  <si>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</si>
  <si>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</si>
  <si>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</si>
  <si>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</si>
  <si>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</si>
  <si>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</si>
  <si>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</si>
  <si>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</si>
  <si>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</si>
  <si>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</si>
  <si>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</si>
  <si>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</si>
  <si>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</si>
  <si>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</si>
  <si>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</si>
  <si>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</si>
  <si>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</si>
  <si>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</si>
  <si>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</si>
  <si>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</si>
  <si>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</si>
  <si>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</si>
  <si>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</si>
  <si>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</si>
  <si>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</si>
  <si>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</si>
  <si>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</si>
  <si>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</si>
  <si>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</si>
  <si>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</si>
  <si>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</si>
  <si>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</si>
  <si>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</si>
  <si>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</si>
  <si>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</si>
  <si>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</si>
  <si>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</si>
  <si>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</si>
  <si>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</si>
  <si>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</si>
  <si>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</si>
  <si>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</si>
  <si>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</si>
  <si>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</si>
  <si>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</si>
  <si>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</si>
  <si>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</si>
  <si>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</si>
  <si>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</si>
  <si>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</si>
  <si>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</si>
  <si>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</si>
  <si>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</si>
  <si>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</si>
  <si>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</si>
  <si>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</si>
  <si>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</si>
  <si>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</si>
  <si>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</si>
  <si>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</si>
  <si>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</si>
  <si>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</si>
  <si>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</si>
  <si>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</si>
  <si>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</si>
  <si>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</si>
  <si>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</si>
  <si>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</si>
  <si>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</si>
  <si>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</si>
  <si>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</si>
  <si>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</si>
  <si>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</si>
  <si>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</si>
  <si>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</si>
  <si>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</si>
  <si>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</si>
  <si>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</si>
  <si>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</si>
  <si>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</si>
  <si>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</si>
  <si>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</si>
  <si>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</si>
  <si>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</si>
  <si>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</si>
  <si>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</si>
  <si>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</si>
  <si>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</si>
  <si>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</si>
  <si>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</si>
  <si>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</si>
  <si>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</si>
  <si>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</si>
  <si>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</si>
  <si>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</si>
  <si>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</si>
  <si>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</si>
  <si>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</si>
  <si>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</si>
  <si>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</si>
  <si>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</si>
  <si>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</si>
  <si>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</si>
  <si>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</si>
  <si>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</si>
  <si>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</si>
  <si>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</si>
  <si>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</si>
  <si>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</si>
  <si>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</si>
  <si>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</si>
  <si>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</si>
  <si>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</si>
  <si>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</si>
  <si>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</si>
  <si>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</si>
  <si>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</si>
  <si>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</si>
  <si>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</si>
  <si>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</si>
  <si>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</si>
  <si>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</si>
  <si>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</si>
  <si>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</si>
  <si>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</si>
  <si>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</si>
  <si>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</si>
  <si>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</si>
  <si>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</si>
  <si>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</si>
  <si>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</si>
  <si>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</si>
  <si>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</si>
  <si>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</si>
  <si>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</si>
  <si>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</si>
  <si>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</si>
  <si>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</si>
  <si>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</si>
  <si>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</si>
  <si>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</si>
  <si>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</si>
  <si>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</si>
  <si>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</si>
  <si>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</si>
  <si>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</si>
  <si>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</si>
  <si>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</si>
  <si>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</si>
  <si>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</si>
  <si>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</si>
  <si>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</si>
  <si>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</si>
  <si>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</si>
  <si>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</si>
  <si>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</si>
  <si>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</si>
  <si>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</si>
  <si>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</si>
  <si>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</si>
  <si>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</si>
  <si>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</si>
  <si>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</si>
  <si>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</si>
  <si>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</si>
  <si>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</si>
  <si>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</si>
  <si>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</si>
  <si>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</si>
  <si>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</si>
  <si>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</si>
  <si>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</si>
  <si>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</si>
  <si>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</si>
  <si>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</si>
  <si>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</si>
  <si>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</si>
  <si>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</si>
  <si>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</si>
  <si>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</si>
  <si>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</si>
  <si>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</si>
  <si>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</si>
  <si>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</si>
  <si>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</si>
  <si>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</si>
  <si>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</si>
  <si>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</si>
  <si>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</si>
  <si>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</si>
  <si>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</si>
  <si>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</si>
  <si>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</si>
  <si>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</si>
  <si>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</si>
  <si>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</si>
  <si>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</si>
  <si>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</si>
  <si>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</si>
  <si>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</si>
  <si>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</si>
  <si>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</si>
  <si>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</si>
  <si>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</si>
  <si>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</si>
  <si>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</si>
  <si>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</si>
  <si>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</si>
  <si>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</si>
  <si>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</si>
  <si>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</si>
  <si>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</si>
  <si>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</si>
  <si>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</si>
  <si>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</si>
  <si>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</si>
  <si>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</si>
  <si>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</si>
  <si>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</si>
  <si>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</si>
  <si>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</si>
  <si>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</si>
  <si>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</si>
  <si>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</si>
  <si>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</si>
  <si>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</si>
  <si>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</si>
  <si>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</si>
  <si>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</si>
  <si>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</si>
  <si>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</si>
  <si>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</si>
  <si>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</si>
  <si>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</si>
  <si>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</si>
  <si>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</si>
  <si>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</si>
  <si>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</si>
  <si>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</si>
  <si>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</si>
  <si>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</si>
  <si>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</si>
  <si>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</si>
  <si>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</si>
  <si>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</si>
  <si>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</si>
  <si>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</si>
  <si>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</si>
  <si>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</si>
  <si>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</si>
  <si>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</si>
  <si>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</si>
  <si>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</si>
  <si>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</si>
  <si>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</si>
  <si>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</si>
  <si>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</si>
  <si>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</si>
  <si>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</si>
  <si>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</si>
  <si>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</si>
  <si>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</si>
  <si>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</si>
  <si>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</si>
  <si>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</si>
  <si>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</si>
  <si>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</si>
  <si>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</si>
  <si>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</si>
  <si>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</si>
  <si>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</si>
  <si>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</si>
  <si>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</si>
  <si>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</si>
  <si>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</si>
  <si>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</si>
  <si>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</si>
  <si>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</si>
  <si>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</si>
  <si>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</si>
  <si>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</si>
  <si>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</si>
  <si>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</si>
  <si>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</si>
  <si>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</si>
  <si>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</si>
  <si>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</si>
  <si>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</si>
  <si>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</si>
  <si>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</si>
  <si>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</si>
  <si>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</si>
  <si>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</si>
  <si>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</si>
  <si>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</si>
  <si>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</si>
  <si>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</si>
  <si>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</si>
  <si>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</si>
  <si>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</si>
  <si>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</si>
  <si>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</si>
  <si>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</si>
  <si>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</si>
  <si>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</si>
  <si>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</si>
  <si>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</si>
  <si>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</si>
  <si>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</si>
  <si>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</si>
  <si>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</si>
  <si>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</si>
  <si>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</si>
  <si>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</si>
  <si>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</si>
  <si>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</si>
  <si>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</si>
  <si>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</si>
  <si>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</si>
  <si>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</si>
  <si>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</si>
  <si>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</si>
  <si>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</si>
  <si>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</si>
  <si>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</si>
  <si>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</si>
  <si>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</si>
  <si>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</si>
  <si>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</si>
  <si>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</si>
  <si>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</si>
  <si>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</si>
  <si>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</si>
  <si>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</si>
  <si>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</si>
  <si>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</si>
  <si>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</si>
  <si>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</si>
  <si>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</si>
  <si>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</si>
  <si>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</si>
  <si>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</si>
  <si>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</si>
  <si>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</si>
  <si>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</si>
  <si>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</si>
  <si>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</si>
  <si>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</si>
  <si>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</si>
  <si>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</si>
  <si>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</si>
  <si>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</si>
  <si>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</si>
  <si>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</si>
  <si>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</si>
  <si>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</si>
  <si>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</si>
  <si>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</si>
  <si>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</si>
  <si>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</si>
  <si>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</si>
  <si>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</si>
  <si>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</si>
  <si>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</si>
  <si>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</si>
  <si>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</si>
  <si>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</si>
  <si>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</si>
  <si>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</si>
  <si>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</si>
  <si>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</si>
  <si>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</si>
  <si>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</si>
  <si>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</si>
  <si>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</si>
  <si>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</si>
  <si>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</si>
  <si>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</si>
  <si>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</si>
  <si>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</si>
  <si>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</si>
  <si>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</si>
  <si>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</si>
  <si>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</si>
  <si>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</si>
  <si>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</si>
  <si>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</si>
  <si>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</si>
  <si>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</si>
  <si>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</si>
  <si>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</si>
  <si>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</si>
  <si>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</si>
  <si>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</si>
  <si>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</si>
  <si>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</si>
  <si>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</si>
  <si>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</si>
  <si>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</si>
  <si>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</si>
  <si>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</si>
  <si>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</si>
  <si>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</si>
  <si>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</si>
  <si>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</si>
  <si>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</si>
  <si>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</si>
  <si>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</si>
  <si>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</si>
  <si>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</si>
  <si>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</si>
  <si>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</si>
  <si>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</si>
  <si>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</si>
  <si>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</si>
  <si>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</si>
  <si>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</si>
  <si>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</si>
  <si>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</si>
  <si>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</si>
  <si>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</si>
  <si>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</si>
  <si>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</si>
  <si>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</si>
  <si>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</si>
  <si>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</si>
  <si>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</si>
  <si>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</si>
  <si>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</si>
  <si>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</si>
  <si>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</si>
  <si>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</si>
  <si>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</si>
  <si>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</si>
  <si>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</si>
  <si>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</si>
  <si>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</si>
  <si>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</si>
  <si>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</si>
  <si>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</si>
  <si>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</si>
  <si>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</si>
  <si>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</si>
  <si>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</si>
  <si>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</si>
  <si>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</si>
  <si>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</si>
  <si>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</si>
  <si>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</si>
  <si>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</si>
  <si>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</si>
  <si>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</si>
  <si>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</si>
  <si>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</si>
  <si>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</si>
  <si>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</si>
  <si>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</si>
  <si>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</si>
  <si>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</si>
  <si>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</si>
  <si>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</si>
  <si>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</si>
  <si>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</si>
  <si>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</si>
  <si>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</si>
  <si>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</si>
  <si>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</si>
  <si>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</si>
  <si>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</si>
  <si>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</si>
  <si>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</si>
  <si>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</si>
  <si>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</si>
  <si>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</si>
  <si>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</si>
  <si>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</si>
  <si>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</si>
  <si>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</si>
  <si>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</si>
  <si>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</si>
  <si>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</si>
  <si>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</si>
  <si>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</si>
  <si>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</si>
  <si>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</si>
  <si>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</si>
  <si>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</si>
  <si>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</si>
  <si>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</si>
  <si>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</si>
  <si>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</si>
  <si>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</si>
  <si>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</si>
  <si>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</si>
  <si>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</si>
  <si>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</si>
  <si>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</si>
  <si>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</si>
  <si>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</si>
  <si>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</si>
  <si>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</si>
  <si>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</si>
  <si>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</si>
  <si>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</si>
  <si>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</si>
  <si>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</si>
  <si>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</si>
  <si>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</si>
  <si>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</si>
  <si>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</si>
  <si>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</si>
  <si>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</si>
  <si>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</si>
  <si>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</si>
  <si>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</si>
  <si>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</si>
  <si>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</si>
  <si>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</si>
  <si>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</si>
  <si>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</si>
  <si>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</si>
  <si>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</si>
  <si>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</si>
  <si>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</si>
  <si>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</si>
  <si>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</si>
  <si>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</si>
  <si>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</si>
  <si>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</si>
  <si>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</si>
  <si>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</si>
  <si>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</si>
  <si>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</si>
  <si>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</si>
  <si>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</si>
  <si>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</si>
  <si>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</si>
  <si>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</si>
  <si>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</si>
  <si>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</si>
  <si>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</si>
  <si>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</si>
  <si>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</si>
  <si>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</si>
  <si>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</si>
  <si>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</si>
  <si>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</si>
  <si>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</si>
  <si>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</si>
  <si>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</si>
  <si>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</si>
  <si>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</si>
  <si>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</si>
  <si>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</si>
  <si>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</si>
  <si>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</si>
  <si>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</si>
  <si>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</si>
  <si>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</si>
  <si>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</si>
  <si>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</si>
  <si>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</si>
  <si>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</si>
  <si>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</si>
  <si>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</si>
  <si>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</si>
  <si>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</si>
  <si>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</si>
  <si>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</si>
  <si>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</si>
  <si>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</si>
  <si>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</si>
  <si>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</si>
  <si>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</si>
  <si>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</si>
  <si>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</si>
  <si>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</si>
  <si>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</si>
  <si>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</si>
  <si>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</si>
  <si>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</si>
  <si>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</si>
  <si>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</si>
  <si>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</si>
  <si>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</si>
  <si>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</si>
  <si>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</si>
  <si>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</si>
  <si>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</si>
  <si>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</si>
  <si>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</si>
  <si>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</si>
  <si>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</si>
  <si>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</si>
  <si>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</si>
  <si>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</si>
  <si>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</si>
  <si>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</si>
  <si>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</si>
  <si>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</si>
  <si>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</si>
  <si>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</si>
  <si>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</si>
  <si>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</si>
  <si>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</si>
  <si>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</si>
  <si>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</si>
  <si>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</si>
  <si>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</si>
  <si>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</si>
  <si>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</si>
  <si>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</si>
  <si>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</si>
  <si>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</si>
  <si>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</si>
  <si>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</si>
  <si>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</si>
  <si>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</si>
  <si>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</si>
  <si>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</si>
  <si>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</si>
  <si>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</si>
  <si>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</si>
  <si>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</si>
  <si>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</si>
  <si>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</si>
  <si>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</si>
  <si>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</si>
  <si>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</si>
  <si>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</si>
  <si>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</si>
  <si>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</si>
  <si>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</si>
  <si>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</si>
  <si>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</si>
  <si>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</si>
  <si>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</si>
  <si>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</si>
  <si>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</si>
  <si>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</si>
  <si>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</si>
  <si>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</si>
  <si>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</si>
  <si>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</si>
  <si>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</si>
  <si>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</si>
  <si>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</si>
  <si>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</si>
  <si>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</si>
  <si>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</si>
  <si>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</si>
  <si>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</si>
  <si>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</si>
  <si>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</si>
  <si>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</si>
  <si>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</si>
  <si>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</si>
  <si>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</si>
  <si>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</si>
  <si>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</si>
  <si>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</si>
  <si>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</si>
  <si>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</si>
  <si>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</si>
  <si>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</si>
  <si>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</si>
  <si>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</si>
  <si>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</si>
  <si>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</si>
  <si>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</si>
  <si>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</si>
  <si>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</si>
  <si>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</si>
  <si>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</si>
  <si>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</si>
  <si>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</si>
  <si>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</si>
  <si>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</si>
  <si>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</si>
  <si>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</si>
  <si>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</si>
  <si>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</si>
  <si>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</si>
  <si>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</si>
  <si>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</si>
  <si>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</si>
  <si>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</si>
  <si>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</si>
  <si>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</si>
  <si>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</si>
  <si>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</si>
  <si>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</si>
  <si>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</si>
  <si>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</si>
  <si>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</si>
  <si>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</si>
  <si>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</si>
  <si>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</si>
  <si>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</si>
  <si>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</si>
  <si>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</si>
  <si>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</si>
  <si>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</si>
  <si>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</si>
  <si>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</si>
  <si>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</si>
  <si>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</si>
  <si>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</si>
  <si>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</si>
  <si>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</si>
  <si>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</si>
  <si>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</si>
  <si>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</si>
  <si>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</si>
  <si>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</si>
  <si>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</si>
  <si>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</si>
  <si>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</si>
  <si>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</si>
  <si>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</si>
  <si>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</si>
  <si>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</si>
  <si>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</si>
  <si>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</si>
  <si>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</si>
  <si>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</si>
  <si>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</si>
  <si>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</si>
  <si>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</si>
  <si>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</si>
  <si>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</si>
  <si>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</si>
  <si>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</si>
  <si>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</si>
  <si>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</si>
  <si>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</si>
  <si>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</si>
  <si>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</si>
  <si>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</si>
  <si>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</si>
  <si>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</si>
  <si>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</si>
  <si>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</si>
  <si>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</si>
  <si>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</si>
  <si>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</si>
  <si>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</si>
  <si>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</si>
  <si>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</si>
  <si>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</si>
  <si>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</si>
  <si>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</si>
  <si>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</si>
  <si>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</si>
  <si>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</si>
  <si>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</si>
  <si>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</si>
  <si>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</si>
  <si>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</si>
  <si>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</si>
  <si>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</si>
  <si>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</si>
  <si>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</si>
  <si>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</si>
  <si>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</si>
  <si>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</si>
  <si>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</si>
  <si>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</si>
  <si>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</si>
  <si>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</si>
  <si>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</si>
  <si>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</si>
  <si>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</si>
  <si>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</si>
  <si>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</si>
  <si>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</si>
  <si>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</si>
  <si>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</si>
  <si>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</si>
  <si>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</si>
  <si>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</si>
  <si>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</si>
  <si>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</si>
  <si>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</si>
  <si>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</si>
  <si>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</si>
  <si>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</si>
  <si>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</si>
  <si>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</si>
  <si>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</si>
  <si>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</si>
  <si>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</si>
  <si>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</si>
  <si>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</si>
  <si>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</si>
  <si>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</si>
  <si>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</si>
  <si>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</si>
  <si>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</si>
  <si>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</si>
  <si>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</si>
  <si>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</si>
  <si>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</si>
  <si>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</si>
  <si>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</si>
  <si>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</si>
  <si>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</si>
  <si>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</si>
  <si>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</si>
  <si>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</si>
  <si>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</si>
  <si>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</si>
  <si>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</si>
  <si>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</si>
  <si>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</si>
  <si>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</si>
  <si>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</si>
  <si>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</si>
  <si>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</si>
  <si>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</si>
  <si>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</si>
  <si>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</si>
  <si>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</si>
  <si>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</si>
  <si>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</si>
  <si>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</si>
  <si>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</si>
  <si>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</si>
  <si>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</si>
  <si>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</si>
  <si>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</si>
  <si>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</si>
  <si>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</si>
  <si>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</si>
  <si>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</si>
  <si>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</si>
  <si>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</si>
  <si>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</si>
  <si>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</si>
  <si>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</si>
  <si>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</si>
  <si>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</si>
  <si>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</si>
  <si>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</si>
  <si>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</si>
  <si>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</si>
  <si>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</si>
  <si>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</si>
  <si>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</si>
  <si>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</si>
  <si>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</si>
  <si>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</si>
  <si>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</si>
  <si>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</si>
  <si>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</si>
  <si>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</si>
  <si>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</si>
  <si>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</si>
  <si>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</si>
  <si>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</si>
  <si>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</si>
  <si>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</si>
  <si>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</si>
  <si>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</si>
  <si>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</si>
  <si>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</si>
  <si>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</si>
  <si>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</si>
  <si>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</si>
  <si>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</si>
  <si>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</si>
  <si>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</si>
  <si>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</si>
  <si>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</si>
  <si>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</si>
  <si>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</si>
  <si>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</si>
  <si>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</si>
  <si>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</si>
  <si>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</si>
  <si>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</si>
  <si>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</si>
  <si>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</si>
  <si>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</si>
  <si>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</si>
  <si>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</si>
  <si>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</si>
  <si>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</si>
  <si>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</si>
  <si>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</si>
  <si>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</si>
  <si>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</si>
  <si>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</si>
  <si>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</si>
  <si>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</si>
  <si>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</si>
  <si>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</si>
  <si>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</si>
  <si>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</si>
  <si>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</si>
  <si>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</si>
  <si>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</si>
  <si>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</si>
  <si>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</si>
  <si>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</si>
  <si>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</si>
  <si>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</si>
  <si>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</si>
  <si>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</si>
  <si>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</si>
  <si>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</si>
  <si>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</si>
  <si>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</si>
  <si>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</si>
  <si>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</si>
  <si>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</si>
  <si>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</si>
  <si>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</si>
  <si>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</si>
  <si>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</si>
  <si>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</si>
  <si>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</si>
  <si>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</si>
  <si>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</si>
  <si>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</si>
  <si>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</si>
  <si>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</si>
  <si>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</si>
  <si>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</si>
  <si>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</si>
  <si>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</si>
  <si>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</si>
  <si>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</si>
  <si>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</si>
  <si>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</si>
  <si>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</si>
  <si>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</si>
  <si>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</si>
  <si>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</si>
  <si>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</si>
  <si>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</si>
  <si>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</si>
  <si>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</si>
  <si>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</si>
  <si>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</si>
  <si>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</si>
  <si>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</si>
  <si>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</si>
  <si>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</si>
  <si>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</si>
  <si>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</si>
  <si>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</si>
  <si>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</si>
  <si>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</si>
  <si>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</si>
  <si>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</si>
  <si>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</si>
  <si>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</si>
  <si>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</si>
  <si>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</si>
  <si>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</si>
  <si>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</si>
  <si>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</si>
  <si>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</si>
  <si>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</si>
  <si>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</si>
  <si>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</si>
  <si>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</si>
  <si>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</si>
  <si>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</si>
  <si>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</si>
  <si>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</si>
  <si>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</si>
  <si>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</si>
  <si>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</si>
  <si>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</si>
  <si>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</si>
  <si>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</si>
  <si>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</si>
  <si>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</si>
  <si>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</si>
  <si>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</si>
  <si>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</si>
  <si>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</si>
  <si>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</si>
  <si>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</si>
  <si>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</si>
  <si>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</si>
  <si>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</si>
  <si>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</si>
  <si>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</si>
  <si>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</si>
  <si>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</si>
  <si>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</si>
  <si>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</si>
  <si>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</si>
  <si>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</si>
  <si>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</si>
  <si>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</si>
  <si>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</si>
  <si>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</si>
  <si>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</si>
  <si>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</si>
  <si>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</si>
  <si>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</si>
  <si>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</si>
  <si>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</si>
  <si>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</si>
  <si>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</si>
  <si>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</si>
  <si>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</si>
  <si>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</si>
  <si>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</si>
  <si>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</si>
  <si>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</si>
  <si>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</si>
  <si>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</si>
  <si>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</si>
  <si>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</si>
  <si>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</si>
  <si>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</si>
  <si>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</si>
  <si>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</si>
  <si>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</si>
  <si>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</si>
  <si>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</si>
  <si>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</si>
  <si>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</si>
  <si>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</si>
  <si>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</si>
  <si>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</si>
  <si>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</si>
  <si>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</si>
  <si>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</si>
  <si>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</si>
  <si>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</si>
  <si>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</si>
  <si>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</si>
  <si>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</si>
  <si>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</si>
  <si>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</si>
  <si>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</si>
  <si>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</si>
  <si>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</si>
  <si>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</si>
  <si>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</si>
  <si>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</si>
  <si>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</si>
  <si>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</si>
  <si>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</si>
  <si>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</si>
  <si>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</si>
  <si>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</si>
  <si>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</si>
  <si>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</si>
  <si>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</si>
  <si>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</si>
  <si>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</si>
  <si>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</si>
  <si>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</si>
  <si>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</si>
  <si>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</si>
  <si>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</si>
  <si>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</si>
  <si>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</si>
  <si>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</si>
  <si>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</si>
  <si>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</si>
  <si>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</si>
  <si>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</si>
  <si>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</si>
  <si>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</si>
  <si>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</si>
  <si>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</si>
  <si>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</si>
  <si>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</si>
  <si>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</si>
  <si>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</si>
  <si>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</si>
  <si>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</si>
  <si>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</si>
  <si>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</si>
  <si>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</si>
  <si>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</si>
  <si>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</si>
  <si>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</si>
  <si>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</si>
  <si>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</si>
  <si>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</si>
  <si>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</si>
  <si>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</si>
  <si>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</si>
  <si>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</si>
  <si>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</si>
  <si>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</si>
  <si>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</si>
  <si>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</si>
  <si>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</si>
  <si>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</si>
  <si>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</si>
  <si>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</si>
  <si>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</si>
  <si>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</si>
  <si>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</si>
  <si>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</si>
  <si>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</si>
  <si>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</si>
  <si>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</si>
  <si>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</si>
  <si>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</si>
  <si>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</si>
  <si>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</si>
  <si>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</si>
  <si>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</si>
  <si>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</si>
  <si>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</si>
  <si>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</si>
  <si>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</si>
  <si>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</si>
  <si>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</si>
  <si>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</si>
  <si>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</si>
  <si>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</si>
  <si>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</si>
  <si>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</si>
  <si>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</si>
  <si>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</si>
  <si>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</si>
  <si>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</si>
  <si>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</si>
  <si>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</si>
  <si>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</si>
  <si>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</si>
  <si>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</si>
  <si>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</si>
  <si>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</si>
  <si>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</si>
  <si>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</si>
  <si>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</si>
  <si>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</si>
  <si>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</si>
  <si>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</si>
  <si>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</si>
  <si>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</si>
  <si>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</si>
  <si>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</si>
  <si>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</si>
  <si>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</si>
  <si>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</si>
  <si>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</si>
  <si>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</si>
  <si>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</si>
  <si>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</si>
  <si>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</si>
  <si>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</si>
  <si>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</si>
  <si>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</si>
  <si>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</si>
  <si>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</si>
  <si>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</si>
  <si>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</si>
  <si>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</si>
  <si>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</si>
  <si>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</si>
  <si>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</si>
  <si>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</si>
  <si>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</si>
  <si>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</si>
  <si>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</si>
  <si>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</si>
  <si>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</si>
  <si>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</si>
  <si>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</si>
  <si>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</si>
  <si>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</si>
  <si>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</si>
  <si>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</si>
  <si>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</si>
  <si>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</si>
  <si>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</si>
  <si>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</si>
  <si>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</si>
  <si>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</si>
  <si>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</si>
  <si>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</si>
  <si>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</si>
  <si>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</si>
  <si>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</si>
  <si>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</si>
  <si>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</si>
  <si>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</si>
  <si>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</si>
  <si>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</si>
  <si>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</si>
  <si>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</si>
  <si>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</si>
  <si>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</si>
  <si>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</si>
  <si>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</si>
  <si>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</si>
  <si>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</si>
  <si>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</si>
  <si>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</si>
  <si>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</si>
  <si>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</si>
  <si>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</si>
  <si>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</si>
  <si>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</si>
  <si>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</si>
  <si>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</si>
  <si>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</si>
  <si>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</si>
  <si>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</si>
  <si>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</si>
  <si>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</si>
  <si>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</si>
  <si>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</si>
  <si>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</si>
  <si>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</si>
  <si>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</si>
  <si>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</si>
  <si>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</si>
  <si>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</si>
  <si>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</si>
  <si>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</si>
  <si>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</si>
  <si>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</si>
  <si>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</si>
  <si>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</si>
  <si>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</si>
  <si>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</si>
  <si>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</si>
  <si>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</si>
  <si>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</si>
  <si>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</si>
  <si>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</si>
  <si>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</si>
  <si>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</si>
  <si>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</si>
  <si>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</si>
  <si>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</si>
  <si>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</si>
  <si>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</si>
  <si>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</si>
  <si>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</si>
  <si>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</si>
  <si>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</si>
  <si>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</si>
  <si>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</si>
  <si>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</si>
  <si>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</si>
  <si>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</si>
  <si>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</si>
  <si>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</si>
  <si>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</si>
  <si>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</si>
  <si>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</si>
  <si>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</si>
  <si>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</si>
  <si>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</si>
  <si>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</si>
  <si>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</si>
  <si>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</si>
  <si>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</si>
  <si>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</si>
  <si>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</si>
  <si>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</si>
  <si>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</si>
  <si>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</si>
  <si>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</si>
  <si>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</si>
  <si>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</si>
  <si>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</si>
  <si>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</si>
  <si>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</si>
  <si>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</si>
  <si>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</si>
  <si>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</si>
  <si>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</si>
  <si>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</si>
  <si>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</si>
  <si>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</si>
  <si>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</si>
  <si>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</si>
  <si>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</si>
  <si>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</si>
  <si>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</si>
  <si>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</si>
  <si>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</si>
  <si>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</si>
  <si>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</si>
  <si>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</si>
  <si>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</si>
  <si>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</si>
  <si>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</si>
  <si>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</si>
  <si>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</si>
  <si>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</si>
  <si>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</si>
  <si>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</si>
  <si>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</si>
  <si>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</si>
  <si>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</si>
  <si>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</si>
  <si>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</si>
  <si>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</si>
  <si>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</si>
  <si>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</si>
  <si>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</si>
  <si>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</si>
  <si>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</si>
  <si>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</si>
  <si>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</si>
  <si>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</si>
  <si>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</si>
  <si>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</si>
  <si>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</si>
  <si>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</si>
  <si>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</si>
  <si>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</si>
  <si>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</si>
  <si>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</si>
  <si>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</si>
  <si>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</si>
  <si>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</si>
  <si>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</si>
  <si>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</si>
  <si>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</si>
  <si>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</si>
  <si>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</si>
  <si>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</si>
  <si>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</si>
  <si>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</si>
  <si>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</si>
  <si>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</si>
  <si>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</si>
  <si>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</si>
  <si>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</si>
  <si>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</si>
  <si>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</si>
  <si>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</si>
  <si>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</si>
  <si>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</si>
  <si>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</si>
  <si>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</si>
  <si>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</si>
  <si>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</si>
  <si>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</si>
  <si>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</si>
  <si>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</si>
  <si>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</si>
  <si>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</si>
  <si>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</si>
  <si>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</si>
  <si>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</si>
  <si>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</si>
  <si>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</si>
  <si>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</si>
  <si>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</si>
  <si>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</si>
  <si>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</si>
  <si>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</si>
  <si>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</si>
  <si>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</si>
  <si>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</si>
  <si>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</si>
  <si>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</si>
  <si>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</si>
  <si>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</si>
  <si>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</si>
  <si>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</si>
  <si>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</si>
  <si>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</si>
  <si>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</si>
  <si>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</si>
  <si>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</si>
  <si>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</si>
  <si>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</si>
  <si>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</si>
  <si>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</si>
  <si>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</si>
  <si>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</si>
  <si>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</si>
  <si>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</si>
  <si>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</si>
  <si>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</si>
  <si>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</si>
  <si>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</si>
  <si>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</si>
  <si>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</si>
  <si>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</si>
  <si>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</si>
  <si>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</si>
  <si>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</si>
  <si>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</si>
  <si>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</si>
  <si>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</si>
  <si>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</si>
  <si>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</si>
  <si>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</si>
  <si>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</si>
  <si>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</si>
  <si>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</si>
  <si>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</si>
  <si>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</si>
  <si>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</si>
  <si>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</si>
  <si>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</si>
  <si>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</si>
  <si>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</si>
  <si>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</si>
  <si>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</si>
  <si>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</si>
  <si>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</si>
  <si>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</si>
  <si>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</si>
  <si>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</si>
  <si>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</si>
  <si>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</si>
  <si>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</si>
  <si>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</si>
  <si>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</si>
  <si>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</si>
  <si>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</si>
  <si>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</si>
  <si>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</si>
  <si>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</si>
  <si>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</si>
  <si>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</si>
  <si>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</si>
  <si>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</si>
  <si>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</si>
  <si>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</si>
  <si>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</si>
  <si>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</si>
  <si>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</si>
  <si>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</si>
  <si>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</si>
  <si>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</si>
  <si>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</si>
  <si>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</si>
  <si>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</si>
  <si>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</si>
  <si>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</si>
  <si>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</si>
  <si>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</si>
  <si>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</si>
  <si>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</si>
  <si>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</si>
  <si>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</si>
  <si>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</si>
  <si>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</si>
  <si>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</si>
  <si>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</si>
  <si>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</si>
  <si>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</si>
  <si>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</si>
  <si>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</si>
  <si>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</si>
  <si>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</si>
  <si>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</si>
  <si>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</si>
  <si>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</si>
  <si>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</si>
  <si>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</si>
  <si>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</si>
  <si>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</si>
  <si>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</si>
  <si>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</si>
  <si>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</si>
  <si>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</si>
  <si>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</si>
  <si>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</si>
  <si>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</si>
  <si>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</si>
  <si>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</si>
  <si>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</si>
  <si>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</si>
  <si>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</si>
  <si>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</si>
  <si>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</si>
  <si>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</si>
  <si>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</si>
  <si>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</si>
  <si>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</si>
  <si>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</si>
  <si>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</si>
  <si>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</si>
  <si>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</si>
  <si>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</si>
  <si>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</si>
  <si>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</si>
  <si>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</si>
  <si>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</si>
  <si>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</si>
  <si>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</si>
  <si>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</si>
  <si>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</si>
  <si>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</si>
  <si>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</si>
  <si>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</si>
  <si>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</si>
  <si>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</si>
  <si>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</si>
  <si>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</si>
  <si>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</si>
  <si>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</si>
  <si>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</si>
  <si>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</si>
  <si>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</si>
  <si>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</si>
  <si>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</si>
  <si>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</si>
  <si>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</si>
  <si>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</si>
  <si>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</si>
  <si>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</si>
  <si>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</si>
  <si>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</si>
  <si>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</si>
  <si>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</si>
  <si>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</si>
  <si>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</si>
  <si>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</si>
  <si>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</si>
  <si>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</si>
  <si>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</si>
  <si>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</si>
  <si>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</si>
  <si>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</si>
  <si>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</si>
  <si>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</si>
  <si>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</si>
  <si>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</si>
  <si>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</si>
  <si>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</si>
  <si>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</si>
  <si>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</si>
  <si>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</si>
  <si>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</si>
  <si>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</si>
  <si>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</si>
  <si>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</si>
  <si>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</si>
  <si>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</si>
  <si>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</si>
  <si>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</si>
  <si>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</si>
  <si>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</si>
  <si>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</si>
  <si>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</si>
  <si>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</si>
  <si>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</si>
  <si>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</si>
  <si>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</si>
  <si>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</si>
  <si>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</si>
  <si>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</si>
  <si>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</si>
  <si>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</si>
  <si>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</si>
  <si>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</si>
  <si>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</si>
  <si>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</si>
  <si>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</si>
  <si>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</si>
  <si>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</si>
  <si>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</si>
  <si>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</si>
  <si>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</si>
  <si>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</si>
  <si>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</si>
  <si>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</si>
  <si>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</si>
  <si>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</si>
  <si>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</si>
  <si>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</si>
  <si>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</si>
  <si>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</si>
  <si>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</si>
  <si>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</si>
  <si>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</si>
  <si>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</si>
  <si>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</si>
  <si>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</si>
  <si>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</si>
  <si>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</si>
  <si>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</si>
  <si>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</si>
  <si>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</si>
  <si>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</si>
  <si>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</si>
  <si>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</si>
  <si>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</si>
  <si>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</si>
  <si>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</si>
  <si>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</si>
  <si>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</si>
  <si>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</si>
  <si>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</si>
  <si>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</si>
  <si>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</si>
  <si>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</si>
  <si>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</si>
  <si>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</si>
  <si>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</si>
  <si>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</si>
  <si>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</si>
  <si>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</si>
  <si>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</si>
  <si>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</si>
  <si>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</si>
  <si>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</si>
  <si>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</si>
  <si>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</si>
  <si>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</si>
  <si>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</si>
  <si>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</si>
  <si>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</si>
  <si>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</si>
  <si>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</si>
  <si>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</si>
  <si>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</si>
  <si>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</si>
  <si>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</si>
  <si>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</si>
  <si>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</si>
  <si>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</si>
  <si>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</si>
  <si>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</si>
  <si>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</si>
  <si>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</si>
  <si>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</si>
  <si>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</si>
  <si>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</si>
  <si>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</si>
  <si>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</si>
  <si>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</si>
  <si>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</si>
  <si>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</si>
  <si>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</si>
  <si>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</si>
  <si>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</si>
  <si>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</si>
  <si>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</si>
  <si>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</si>
  <si>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</si>
  <si>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</si>
  <si>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</si>
  <si>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</si>
  <si>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</si>
  <si>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</si>
  <si>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</si>
  <si>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</si>
  <si>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</si>
  <si>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</si>
  <si>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</si>
  <si>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</si>
  <si>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</si>
  <si>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</si>
  <si>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</si>
  <si>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</si>
  <si>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</si>
  <si>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</si>
  <si>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</si>
  <si>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</si>
  <si>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</si>
  <si>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</si>
  <si>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</si>
  <si>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</si>
  <si>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</si>
  <si>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</si>
  <si>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</si>
  <si>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</si>
  <si>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</si>
  <si>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</si>
  <si>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</si>
  <si>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</si>
  <si>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</si>
  <si>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</si>
  <si>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</si>
  <si>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</si>
  <si>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</si>
  <si>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</si>
  <si>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</si>
  <si>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</si>
  <si>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</si>
  <si>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</si>
  <si>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</si>
  <si>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</si>
  <si>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</si>
  <si>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</si>
  <si>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</si>
  <si>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</si>
  <si>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</si>
  <si>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</si>
  <si>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</si>
  <si>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</si>
  <si>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</si>
  <si>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</si>
  <si>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</si>
  <si>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</si>
  <si>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</si>
  <si>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</si>
  <si>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</si>
  <si>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</si>
  <si>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</si>
  <si>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</si>
  <si>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</si>
  <si>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</si>
  <si>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</si>
  <si>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</si>
  <si>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</si>
  <si>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</si>
  <si>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</si>
  <si>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</si>
  <si>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</si>
  <si>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</si>
  <si>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</si>
  <si>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</si>
  <si>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</si>
  <si>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</si>
  <si>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</si>
  <si>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</si>
  <si>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</si>
  <si>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</si>
  <si>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</si>
  <si>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</si>
  <si>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</si>
  <si>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</si>
  <si>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</si>
  <si>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</si>
  <si>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</si>
  <si>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</si>
  <si>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</si>
  <si>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</si>
  <si>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</si>
  <si>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</si>
  <si>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</si>
  <si>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</si>
  <si>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</si>
  <si>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</si>
  <si>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</si>
  <si>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</si>
  <si>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</si>
  <si>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</si>
  <si>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</si>
  <si>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</si>
  <si>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</si>
  <si>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</si>
  <si>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</si>
  <si>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</si>
  <si>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</si>
  <si>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</si>
  <si>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</si>
  <si>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</si>
  <si>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</si>
  <si>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</si>
  <si>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</si>
  <si>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</si>
  <si>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</si>
  <si>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</si>
  <si>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</si>
  <si>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</si>
  <si>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</si>
  <si>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</si>
  <si>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</si>
  <si>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</si>
  <si>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</si>
  <si>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</si>
  <si>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</si>
  <si>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</si>
  <si>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</si>
  <si>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</si>
  <si>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</si>
  <si>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</si>
  <si>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</si>
  <si>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</si>
  <si>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</si>
  <si>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</si>
  <si>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</si>
  <si>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</si>
  <si>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</si>
  <si>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</si>
  <si>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</si>
  <si>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</si>
  <si>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</si>
  <si>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</si>
  <si>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</si>
  <si>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</si>
  <si>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</si>
  <si>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</si>
  <si>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</si>
  <si>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</si>
  <si>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</si>
  <si>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</si>
  <si>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</si>
  <si>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</si>
  <si>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</si>
  <si>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</si>
  <si>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</si>
  <si>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</si>
  <si>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</si>
  <si>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</si>
  <si>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</si>
  <si>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</si>
  <si>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</si>
  <si>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</si>
  <si>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</si>
  <si>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</si>
  <si>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</si>
  <si>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</si>
  <si>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</si>
  <si>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</si>
  <si>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</si>
  <si>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</si>
  <si>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</si>
  <si>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</si>
  <si>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</si>
  <si>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</si>
  <si>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</si>
  <si>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</si>
  <si>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</si>
  <si>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</si>
  <si>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</si>
  <si>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</si>
  <si>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</si>
  <si>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</si>
  <si>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</si>
  <si>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</si>
  <si>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</si>
  <si>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</si>
  <si>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</si>
  <si>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</si>
  <si>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</si>
  <si>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</si>
  <si>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</si>
  <si>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</si>
  <si>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</si>
  <si>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</si>
  <si>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</si>
  <si>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</si>
  <si>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</si>
  <si>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</si>
  <si>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</si>
  <si>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</si>
  <si>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</si>
  <si>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</si>
  <si>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</si>
  <si>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</si>
  <si>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</si>
  <si>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</si>
  <si>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</si>
  <si>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</si>
  <si>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</si>
  <si>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</si>
  <si>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</si>
  <si>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</si>
  <si>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</si>
  <si>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</si>
  <si>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</si>
  <si>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</si>
  <si>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</si>
  <si>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</si>
  <si>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</si>
  <si>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</si>
  <si>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</si>
  <si>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</si>
  <si>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</si>
  <si>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</si>
  <si>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</si>
  <si>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</si>
  <si>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</si>
  <si>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</si>
  <si>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</si>
  <si>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</si>
  <si>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</si>
  <si>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</si>
  <si>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</si>
  <si>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</si>
  <si>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</si>
  <si>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</si>
  <si>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</si>
  <si>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</si>
  <si>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</si>
  <si>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</si>
  <si>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</si>
  <si>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</si>
  <si>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</si>
  <si>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</si>
  <si>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</si>
  <si>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</si>
  <si>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</si>
  <si>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</si>
  <si>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</si>
  <si>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</si>
  <si>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</si>
  <si>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</si>
  <si>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</si>
  <si>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</si>
  <si>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</si>
  <si>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</si>
  <si>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</si>
  <si>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</si>
  <si>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</si>
  <si>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</si>
  <si>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</si>
  <si>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</si>
  <si>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</si>
  <si>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</si>
  <si>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</si>
  <si>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</si>
  <si>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</si>
  <si>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</si>
  <si>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</si>
  <si>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</si>
  <si>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</si>
  <si>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</si>
  <si>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</si>
  <si>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</si>
  <si>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</si>
  <si>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</si>
  <si>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</si>
  <si>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</si>
  <si>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</si>
  <si>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</si>
  <si>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</si>
  <si>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</si>
  <si>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</si>
  <si>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</si>
  <si>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</si>
  <si>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</si>
  <si>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</si>
  <si>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</si>
  <si>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</si>
  <si>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</si>
  <si>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</si>
  <si>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</si>
  <si>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</si>
  <si>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</si>
  <si>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</si>
  <si>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</si>
  <si>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</si>
  <si>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</si>
  <si>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</si>
  <si>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</si>
  <si>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</si>
  <si>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</si>
  <si>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</si>
  <si>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</si>
  <si>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</si>
  <si>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</si>
  <si>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</si>
  <si>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</si>
  <si>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</si>
  <si>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</si>
  <si>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</si>
  <si>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</si>
  <si>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</si>
  <si>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</si>
  <si>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</si>
  <si>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</si>
  <si>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</si>
  <si>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</si>
  <si>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</si>
  <si>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</si>
  <si>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</si>
  <si>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</si>
  <si>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</si>
  <si>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</si>
  <si>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</si>
  <si>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</si>
  <si>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</si>
  <si>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</si>
  <si>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</si>
  <si>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</si>
  <si>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</si>
  <si>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</si>
  <si>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</si>
  <si>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</si>
  <si>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</si>
  <si>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</si>
  <si>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</si>
  <si>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</si>
  <si>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</si>
  <si>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</si>
  <si>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</si>
  <si>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</si>
  <si>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</si>
  <si>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</si>
  <si>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</si>
  <si>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</si>
  <si>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</si>
  <si>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</si>
  <si>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</si>
  <si>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</si>
  <si>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</si>
  <si>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</si>
  <si>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</si>
  <si>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</si>
  <si>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</si>
  <si>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</si>
  <si>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</si>
  <si>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</si>
  <si>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</si>
  <si>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</si>
  <si>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</si>
  <si>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</si>
  <si>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</si>
  <si>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</si>
  <si>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</si>
  <si>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</si>
  <si>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</si>
  <si>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</si>
  <si>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</si>
  <si>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</si>
  <si>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</si>
  <si>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</si>
  <si>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</si>
  <si>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</si>
  <si>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</si>
  <si>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</si>
  <si>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</si>
  <si>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</si>
  <si>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</si>
  <si>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</si>
  <si>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</si>
  <si>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</si>
  <si>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</si>
  <si>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</si>
  <si>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</si>
  <si>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</si>
  <si>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</si>
  <si>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</si>
  <si>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</si>
  <si>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</si>
  <si>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</si>
  <si>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</si>
  <si>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</si>
  <si>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</si>
  <si>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</si>
  <si>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</si>
  <si>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</si>
  <si>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</si>
  <si>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</si>
  <si>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</si>
  <si>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</si>
  <si>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</si>
  <si>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</si>
  <si>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</si>
  <si>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</si>
  <si>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</si>
  <si>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</si>
  <si>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</si>
  <si>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</si>
  <si>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</si>
  <si>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</si>
  <si>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</si>
  <si>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</si>
  <si>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</si>
  <si>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</si>
  <si>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</si>
  <si>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</si>
  <si>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</si>
  <si>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</si>
  <si>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</si>
  <si>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</si>
  <si>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</si>
  <si>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</si>
  <si>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</si>
  <si>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</si>
  <si>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</si>
  <si>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</si>
  <si>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</si>
  <si>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</si>
  <si>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</si>
  <si>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</si>
  <si>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</si>
  <si>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</si>
  <si>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</si>
  <si>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</si>
  <si>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</si>
  <si>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</si>
  <si>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</si>
  <si>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</si>
  <si>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</si>
  <si>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</si>
  <si>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</si>
  <si>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</si>
  <si>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</si>
  <si>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</si>
  <si>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</si>
  <si>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</si>
  <si>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</si>
  <si>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</si>
  <si>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</si>
  <si>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</si>
  <si>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</si>
  <si>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</si>
  <si>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</si>
  <si>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</si>
  <si>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</si>
  <si>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</si>
  <si>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</si>
  <si>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</si>
  <si>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</si>
  <si>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</si>
  <si>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</si>
  <si>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</si>
  <si>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</si>
  <si>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</si>
  <si>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</si>
  <si>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</si>
  <si>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</si>
  <si>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</si>
  <si>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</si>
  <si>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</si>
  <si>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</si>
  <si>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</si>
  <si>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</si>
  <si>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</si>
  <si>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</si>
  <si>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</si>
  <si>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</si>
  <si>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</si>
  <si>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</si>
  <si>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</si>
  <si>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</si>
  <si>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</si>
  <si>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</si>
  <si>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</si>
  <si>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</si>
  <si>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</si>
  <si>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</si>
  <si>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</si>
  <si>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</si>
  <si>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</si>
  <si>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</si>
  <si>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</si>
  <si>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</si>
  <si>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</si>
  <si>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</si>
  <si>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</si>
  <si>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</si>
  <si>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</si>
  <si>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</si>
  <si>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</si>
  <si>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</si>
  <si>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</si>
  <si>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</si>
  <si>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</si>
  <si>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</si>
  <si>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</si>
  <si>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</si>
  <si>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</si>
  <si>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</si>
  <si>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</si>
  <si>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</si>
  <si>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</si>
  <si>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</si>
  <si>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</si>
  <si>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</si>
  <si>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</si>
  <si>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</si>
  <si>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</si>
  <si>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</si>
  <si>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</si>
  <si>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</si>
  <si>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</si>
  <si>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</si>
  <si>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</si>
  <si>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</si>
  <si>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</si>
  <si>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</si>
  <si>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</si>
  <si>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</si>
  <si>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</si>
  <si>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</si>
  <si>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</si>
  <si>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</si>
  <si>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</si>
  <si>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</si>
  <si>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</si>
  <si>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</si>
  <si>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</si>
  <si>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</si>
  <si>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</si>
  <si>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</si>
  <si>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</si>
  <si>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</si>
  <si>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</si>
  <si>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</si>
  <si>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</si>
  <si>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</si>
  <si>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</si>
  <si>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</si>
  <si>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</si>
  <si>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</si>
  <si>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</si>
  <si>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</si>
  <si>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desplay</t>
  </si>
  <si>
    <t>Qty</t>
  </si>
  <si>
    <t>Avg of rating</t>
  </si>
  <si>
    <t>Avg days</t>
  </si>
  <si>
    <t>Row Labels</t>
  </si>
  <si>
    <t>Grand Total</t>
  </si>
  <si>
    <t>Unknown</t>
  </si>
  <si>
    <t>Male</t>
  </si>
  <si>
    <t>Female</t>
  </si>
  <si>
    <t>Other</t>
  </si>
  <si>
    <t>Column Labels</t>
  </si>
  <si>
    <t>for matrix</t>
  </si>
  <si>
    <t>6 TO 10</t>
  </si>
  <si>
    <t>More than 10</t>
  </si>
  <si>
    <t>map chart stuff (Qty)</t>
  </si>
  <si>
    <t xml:space="preserve">map chart for amount </t>
  </si>
  <si>
    <t>Jan</t>
  </si>
  <si>
    <t>Feb</t>
  </si>
  <si>
    <t>Mar</t>
  </si>
  <si>
    <t>How our customers like to buy?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</si>
</sst>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style="thin">
        <color theme="0"/>
      </left>
      <right style="thin">
        <color theme="0"/>
      </right>
      <top style="thin">
        <color theme="0"/>
      </top>
      <bottom style="thin">
        <color theme="0"/>
      </bottom>
      <diagonal/>
    </border>
  </borders>
  <cellStyleXfs count="1">
    <xf numFmtId="0" fontId="0" fillId="0" borderId="0"/>
  </cellStyleXfs>
  <cellXfs count="14">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1" fillId="3" borderId="1" xfId="0" applyFont="1" applyFill="1" applyBorder="1"/>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10" fontId="0" fillId="0" borderId="0" xfId="0" applyNumberFormat="1"/>
    <xf numFmtId="0" fontId="0" fillId="0" borderId="2" xfId="0" applyBorder="1"/>
    <xf numFmtId="165" fontId="0" fillId="0" borderId="2" xfId="0" applyNumberFormat="1" applyBorder="1"/>
    <xf numFmtId="0" fontId="1" fillId="0" borderId="1" xfId="0" applyFont="1" applyBorder="1"/>
  </cellXfs>
  <cellStyles count="1">
    <cellStyle name="Normal" xfId="0" builtinId="0"/>
  </cellStyles>
  <dxfs count="8">
    <dxf>
      <numFmt numFmtId="0" formatCode="General"/>
    </dxf>
    <dxf>
      <numFmt numFmtId="0" formatCode="General"/>
    </dxf>
    <dxf>
      <numFmt numFmtId="0" formatCode="General"/>
    </dxf>
    <dxf>
      <numFmt numFmtId="20" formatCode="d\-mmm\-yy"/>
    </dxf>
    <dxf>
      <numFmt numFmtId="20" formatCode="d\-mmm\-yy"/>
    </dxf>
    <dxf>
      <numFmt numFmtId="164" formatCode="&quot;$&quot;#,##0"/>
    </dxf>
    <dxf>
      <numFmt numFmtId="164" formatCode="&quot;$&quot;#,##0"/>
    </dxf>
    <dxf>
      <numFmt numFmtId="164" formatCode="&quot;$&quot;#,##0"/>
    </dxf>
  </dxfs>
  <tableStyles count="0" defaultTableStyle="TableStyleMedium2" defaultPivotStyle="PivotStyleLight16"/>
  <colors>
    <mruColors>
      <color rgb="FF00682F"/>
      <color rgb="FFA4D76B"/>
      <color rgb="FF4CD3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me.xlsx]pivots!pvt trends</c:name>
    <c:fmtId val="15"/>
  </c:pivotSource>
  <c:chart>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3323855351414407"/>
          <c:w val="0.71430927384076992"/>
          <c:h val="0.74649387576552939"/>
        </c:manualLayout>
      </c:layout>
      <c:lineChart>
        <c:grouping val="stacked"/>
        <c:varyColors val="0"/>
        <c:ser>
          <c:idx val="0"/>
          <c:order val="0"/>
          <c:tx>
            <c:strRef>
              <c:f>pivots!$B$11</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4C6B-4F9A-BC59-71592F9DBD3B}"/>
            </c:ext>
          </c:extLst>
        </c:ser>
        <c:dLbls>
          <c:showLegendKey val="0"/>
          <c:showVal val="0"/>
          <c:showCatName val="0"/>
          <c:showSerName val="0"/>
          <c:showPercent val="0"/>
          <c:showBubbleSize val="0"/>
        </c:dLbls>
        <c:marker val="1"/>
        <c:smooth val="0"/>
        <c:axId val="1286053808"/>
        <c:axId val="1286056688"/>
      </c:lineChart>
      <c:lineChart>
        <c:grouping val="stacked"/>
        <c:varyColors val="0"/>
        <c:ser>
          <c:idx val="1"/>
          <c:order val="1"/>
          <c:tx>
            <c:strRef>
              <c:f>pivots!$C$11</c:f>
              <c:strCache>
                <c:ptCount val="1"/>
                <c:pt idx="0">
                  <c:v>Sum of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4C6B-4F9A-BC59-71592F9DBD3B}"/>
            </c:ext>
          </c:extLst>
        </c:ser>
        <c:dLbls>
          <c:showLegendKey val="0"/>
          <c:showVal val="0"/>
          <c:showCatName val="0"/>
          <c:showSerName val="0"/>
          <c:showPercent val="0"/>
          <c:showBubbleSize val="0"/>
        </c:dLbls>
        <c:marker val="1"/>
        <c:smooth val="0"/>
        <c:axId val="1286051408"/>
        <c:axId val="849593488"/>
      </c:lineChart>
      <c:catAx>
        <c:axId val="128605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056688"/>
        <c:crosses val="autoZero"/>
        <c:auto val="1"/>
        <c:lblAlgn val="ctr"/>
        <c:lblOffset val="100"/>
        <c:noMultiLvlLbl val="0"/>
      </c:catAx>
      <c:valAx>
        <c:axId val="128605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053808"/>
        <c:crosses val="autoZero"/>
        <c:crossBetween val="between"/>
      </c:valAx>
      <c:valAx>
        <c:axId val="8495934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051408"/>
        <c:crosses val="max"/>
        <c:crossBetween val="between"/>
      </c:valAx>
      <c:catAx>
        <c:axId val="1286051408"/>
        <c:scaling>
          <c:orientation val="minMax"/>
        </c:scaling>
        <c:delete val="1"/>
        <c:axPos val="b"/>
        <c:numFmt formatCode="General" sourceLinked="1"/>
        <c:majorTickMark val="out"/>
        <c:minorTickMark val="none"/>
        <c:tickLblPos val="nextTo"/>
        <c:crossAx val="849593488"/>
        <c:crosses val="autoZero"/>
        <c:auto val="1"/>
        <c:lblAlgn val="ctr"/>
        <c:lblOffset val="100"/>
        <c:noMultiLvlLbl val="0"/>
      </c:catAx>
      <c:spPr>
        <a:noFill/>
        <a:ln>
          <a:noFill/>
        </a:ln>
        <a:effectLst/>
      </c:spPr>
    </c:plotArea>
    <c:legend>
      <c:legendPos val="r"/>
      <c:layout>
        <c:manualLayout>
          <c:xMode val="edge"/>
          <c:yMode val="edge"/>
          <c:x val="0.55386001749781266"/>
          <c:y val="0.67187445319335082"/>
          <c:w val="0.24891776027996501"/>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me.xlsx]pivots!pvt trends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Trend in the last 13 weeks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3323855351414407"/>
          <c:w val="0.71430927384076992"/>
          <c:h val="0.74649387576552939"/>
        </c:manualLayout>
      </c:layout>
      <c:lineChart>
        <c:grouping val="stacked"/>
        <c:varyColors val="0"/>
        <c:ser>
          <c:idx val="0"/>
          <c:order val="0"/>
          <c:tx>
            <c:strRef>
              <c:f>pivots!$B$11</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8A8C-4B68-8E5E-7B4088F9E34F}"/>
            </c:ext>
          </c:extLst>
        </c:ser>
        <c:dLbls>
          <c:showLegendKey val="0"/>
          <c:showVal val="0"/>
          <c:showCatName val="0"/>
          <c:showSerName val="0"/>
          <c:showPercent val="0"/>
          <c:showBubbleSize val="0"/>
        </c:dLbls>
        <c:marker val="1"/>
        <c:smooth val="0"/>
        <c:axId val="1286053808"/>
        <c:axId val="1286056688"/>
      </c:lineChart>
      <c:lineChart>
        <c:grouping val="stacked"/>
        <c:varyColors val="0"/>
        <c:ser>
          <c:idx val="1"/>
          <c:order val="1"/>
          <c:tx>
            <c:strRef>
              <c:f>pivots!$C$11</c:f>
              <c:strCache>
                <c:ptCount val="1"/>
                <c:pt idx="0">
                  <c:v>Sum of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8A8C-4B68-8E5E-7B4088F9E34F}"/>
            </c:ext>
          </c:extLst>
        </c:ser>
        <c:dLbls>
          <c:showLegendKey val="0"/>
          <c:showVal val="0"/>
          <c:showCatName val="0"/>
          <c:showSerName val="0"/>
          <c:showPercent val="0"/>
          <c:showBubbleSize val="0"/>
        </c:dLbls>
        <c:marker val="1"/>
        <c:smooth val="0"/>
        <c:axId val="1286051408"/>
        <c:axId val="849593488"/>
      </c:lineChart>
      <c:catAx>
        <c:axId val="128605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056688"/>
        <c:crosses val="autoZero"/>
        <c:auto val="1"/>
        <c:lblAlgn val="ctr"/>
        <c:lblOffset val="100"/>
        <c:noMultiLvlLbl val="0"/>
      </c:catAx>
      <c:valAx>
        <c:axId val="128605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053808"/>
        <c:crosses val="autoZero"/>
        <c:crossBetween val="between"/>
      </c:valAx>
      <c:valAx>
        <c:axId val="8495934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051408"/>
        <c:crosses val="max"/>
        <c:crossBetween val="between"/>
      </c:valAx>
      <c:catAx>
        <c:axId val="1286051408"/>
        <c:scaling>
          <c:orientation val="minMax"/>
        </c:scaling>
        <c:delete val="1"/>
        <c:axPos val="b"/>
        <c:numFmt formatCode="General" sourceLinked="1"/>
        <c:majorTickMark val="out"/>
        <c:minorTickMark val="none"/>
        <c:tickLblPos val="nextTo"/>
        <c:crossAx val="849593488"/>
        <c:crosses val="autoZero"/>
        <c:auto val="1"/>
        <c:lblAlgn val="ctr"/>
        <c:lblOffset val="100"/>
        <c:noMultiLvlLbl val="0"/>
      </c:catAx>
      <c:spPr>
        <a:noFill/>
        <a:ln>
          <a:noFill/>
        </a:ln>
        <a:effectLst/>
      </c:spPr>
    </c:plotArea>
    <c:legend>
      <c:legendPos val="r"/>
      <c:layout>
        <c:manualLayout>
          <c:xMode val="edge"/>
          <c:yMode val="edge"/>
          <c:x val="0.55386001749781266"/>
          <c:y val="0.67187445319335082"/>
          <c:w val="0.2703409822716204"/>
          <c:h val="0.133818495155406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me.xlsx]Sheet2!pvt_quantityPerCustomer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How many they buy?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8097222222222226"/>
          <c:w val="0.89019685039370078"/>
          <c:h val="0.67003098571011954"/>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1</c:v>
                </c:pt>
                <c:pt idx="1">
                  <c:v>2</c:v>
                </c:pt>
                <c:pt idx="2">
                  <c:v>3</c:v>
                </c:pt>
                <c:pt idx="3">
                  <c:v>4</c:v>
                </c:pt>
                <c:pt idx="4">
                  <c:v>5</c:v>
                </c:pt>
                <c:pt idx="5">
                  <c:v>6 TO 10</c:v>
                </c:pt>
                <c:pt idx="6">
                  <c:v>More than 10</c:v>
                </c:pt>
              </c:strCache>
            </c:strRef>
          </c:cat>
          <c:val>
            <c:numRef>
              <c:f>Sheet2!$B$4:$B$11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3F6-4FEA-B67B-D7933CD98ECA}"/>
            </c:ext>
          </c:extLst>
        </c:ser>
        <c:dLbls>
          <c:dLblPos val="outEnd"/>
          <c:showLegendKey val="0"/>
          <c:showVal val="1"/>
          <c:showCatName val="0"/>
          <c:showSerName val="0"/>
          <c:showPercent val="0"/>
          <c:showBubbleSize val="0"/>
        </c:dLbls>
        <c:gapWidth val="5"/>
        <c:overlap val="-27"/>
        <c:axId val="1347066544"/>
        <c:axId val="1347060304"/>
      </c:barChart>
      <c:catAx>
        <c:axId val="1347066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060304"/>
        <c:crosses val="autoZero"/>
        <c:auto val="1"/>
        <c:lblAlgn val="ctr"/>
        <c:lblOffset val="100"/>
        <c:noMultiLvlLbl val="0"/>
      </c:catAx>
      <c:valAx>
        <c:axId val="1347060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06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me.xlsx]Sheet3!PrudctGender_quantity</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Which products are popular?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Sheet3!$B$3:$B$4</c:f>
              <c:strCache>
                <c:ptCount val="1"/>
                <c:pt idx="0">
                  <c:v>Female</c:v>
                </c:pt>
              </c:strCache>
            </c:strRef>
          </c:tx>
          <c:spPr>
            <a:solidFill>
              <a:schemeClr val="accent6"/>
            </a:solidFill>
            <a:ln>
              <a:noFill/>
            </a:ln>
            <a:effectLst/>
            <a:sp3d/>
          </c:spPr>
          <c:invertIfNegative val="0"/>
          <c:cat>
            <c:strRef>
              <c:f>Sheet3!$A$5:$A$25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Sheet3!$B$5:$B$25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08D2-4D10-B04D-F9C266BEA063}"/>
            </c:ext>
          </c:extLst>
        </c:ser>
        <c:ser>
          <c:idx val="1"/>
          <c:order val="1"/>
          <c:tx>
            <c:strRef>
              <c:f>Sheet3!$C$3:$C$4</c:f>
              <c:strCache>
                <c:ptCount val="1"/>
                <c:pt idx="0">
                  <c:v>Male</c:v>
                </c:pt>
              </c:strCache>
            </c:strRef>
          </c:tx>
          <c:spPr>
            <a:solidFill>
              <a:schemeClr val="accent5"/>
            </a:solidFill>
            <a:ln>
              <a:noFill/>
            </a:ln>
            <a:effectLst/>
            <a:sp3d/>
          </c:spPr>
          <c:invertIfNegative val="0"/>
          <c:cat>
            <c:strRef>
              <c:f>Sheet3!$A$5:$A$25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Sheet3!$C$5:$C$25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08D2-4D10-B04D-F9C266BEA063}"/>
            </c:ext>
          </c:extLst>
        </c:ser>
        <c:ser>
          <c:idx val="2"/>
          <c:order val="2"/>
          <c:tx>
            <c:strRef>
              <c:f>Sheet3!$D$3:$D$4</c:f>
              <c:strCache>
                <c:ptCount val="1"/>
                <c:pt idx="0">
                  <c:v>Other</c:v>
                </c:pt>
              </c:strCache>
            </c:strRef>
          </c:tx>
          <c:spPr>
            <a:solidFill>
              <a:schemeClr val="accent4"/>
            </a:solidFill>
            <a:ln>
              <a:noFill/>
            </a:ln>
            <a:effectLst/>
            <a:sp3d/>
          </c:spPr>
          <c:invertIfNegative val="0"/>
          <c:cat>
            <c:strRef>
              <c:f>Sheet3!$A$5:$A$25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Sheet3!$D$5:$D$25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08D2-4D10-B04D-F9C266BEA063}"/>
            </c:ext>
          </c:extLst>
        </c:ser>
        <c:ser>
          <c:idx val="3"/>
          <c:order val="3"/>
          <c:tx>
            <c:strRef>
              <c:f>Sheet3!$E$3:$E$4</c:f>
              <c:strCache>
                <c:ptCount val="1"/>
                <c:pt idx="0">
                  <c:v>Unknown</c:v>
                </c:pt>
              </c:strCache>
            </c:strRef>
          </c:tx>
          <c:spPr>
            <a:solidFill>
              <a:schemeClr val="accent6">
                <a:lumMod val="60000"/>
              </a:schemeClr>
            </a:solidFill>
            <a:ln>
              <a:noFill/>
            </a:ln>
            <a:effectLst/>
            <a:sp3d/>
          </c:spPr>
          <c:invertIfNegative val="0"/>
          <c:cat>
            <c:strRef>
              <c:f>Sheet3!$A$5:$A$25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Sheet3!$E$5:$E$25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08D2-4D10-B04D-F9C266BEA063}"/>
            </c:ext>
          </c:extLst>
        </c:ser>
        <c:dLbls>
          <c:showLegendKey val="0"/>
          <c:showVal val="0"/>
          <c:showCatName val="0"/>
          <c:showSerName val="0"/>
          <c:showPercent val="0"/>
          <c:showBubbleSize val="0"/>
        </c:dLbls>
        <c:gapWidth val="150"/>
        <c:shape val="box"/>
        <c:axId val="1562996064"/>
        <c:axId val="1563011904"/>
        <c:axId val="0"/>
      </c:bar3DChart>
      <c:catAx>
        <c:axId val="1562996064"/>
        <c:scaling>
          <c:orientation val="maxMin"/>
        </c:scaling>
        <c:delete val="0"/>
        <c:axPos val="l"/>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11904"/>
        <c:crosses val="autoZero"/>
        <c:auto val="1"/>
        <c:lblAlgn val="ctr"/>
        <c:lblOffset val="100"/>
        <c:noMultiLvlLbl val="0"/>
      </c:catAx>
      <c:valAx>
        <c:axId val="156301190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996064"/>
        <c:crosses val="autoZero"/>
        <c:crossBetween val="between"/>
      </c:valAx>
      <c:spPr>
        <a:noFill/>
        <a:ln>
          <a:noFill/>
        </a:ln>
        <a:effectLst/>
      </c:spPr>
    </c:plotArea>
    <c:legend>
      <c:legendPos val="r"/>
      <c:layout>
        <c:manualLayout>
          <c:xMode val="edge"/>
          <c:yMode val="edge"/>
          <c:x val="0.79553766178597007"/>
          <c:y val="0.37731648047810817"/>
          <c:w val="0.17679567790125508"/>
          <c:h val="0.245367039043783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me.xlsx]Sheet5!deliveru_days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How long we take to ship the orders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rgbClr val="00B050"/>
            </a:solidFill>
            <a:ln>
              <a:noFill/>
            </a:ln>
            <a:effectLst/>
          </c:spPr>
          <c:invertIfNegative val="0"/>
          <c:cat>
            <c:strRef>
              <c:f>Sheet5!$A$4:$A$19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Sheet5!$B$4:$B$19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F4E4-4491-80C8-BC631B31AF76}"/>
            </c:ext>
          </c:extLst>
        </c:ser>
        <c:dLbls>
          <c:showLegendKey val="0"/>
          <c:showVal val="0"/>
          <c:showCatName val="0"/>
          <c:showSerName val="0"/>
          <c:showPercent val="0"/>
          <c:showBubbleSize val="0"/>
        </c:dLbls>
        <c:gapWidth val="21"/>
        <c:overlap val="-19"/>
        <c:axId val="1287234592"/>
        <c:axId val="1287235552"/>
      </c:barChart>
      <c:catAx>
        <c:axId val="1287234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a:t>
                </a:r>
                <a:r>
                  <a:rPr lang="en-US" baseline="0"/>
                  <a:t> of days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235552"/>
        <c:crosses val="autoZero"/>
        <c:auto val="1"/>
        <c:lblAlgn val="ctr"/>
        <c:lblOffset val="100"/>
        <c:noMultiLvlLbl val="0"/>
      </c:catAx>
      <c:valAx>
        <c:axId val="1287235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23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me.xlsx]Sheet5!rating</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How happy are our customers?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Sheet5!$B$24:$B$25</c:f>
              <c:strCache>
                <c:ptCount val="1"/>
                <c:pt idx="0">
                  <c:v>1</c:v>
                </c:pt>
              </c:strCache>
            </c:strRef>
          </c:tx>
          <c:spPr>
            <a:solidFill>
              <a:schemeClr val="accent1"/>
            </a:solidFill>
            <a:ln>
              <a:noFill/>
            </a:ln>
            <a:effectLst/>
          </c:spPr>
          <c:invertIfNegative val="0"/>
          <c:cat>
            <c:strRef>
              <c:f>Sheet5!$A$26:$A$29</c:f>
              <c:strCache>
                <c:ptCount val="3"/>
                <c:pt idx="0">
                  <c:v>Jan</c:v>
                </c:pt>
                <c:pt idx="1">
                  <c:v>Feb</c:v>
                </c:pt>
                <c:pt idx="2">
                  <c:v>Mar</c:v>
                </c:pt>
              </c:strCache>
            </c:strRef>
          </c:cat>
          <c:val>
            <c:numRef>
              <c:f>Sheet5!$B$26:$B$29</c:f>
              <c:numCache>
                <c:formatCode>General</c:formatCode>
                <c:ptCount val="3"/>
                <c:pt idx="0">
                  <c:v>7</c:v>
                </c:pt>
                <c:pt idx="1">
                  <c:v>8</c:v>
                </c:pt>
                <c:pt idx="2">
                  <c:v>6</c:v>
                </c:pt>
              </c:numCache>
            </c:numRef>
          </c:val>
          <c:extLst>
            <c:ext xmlns:c16="http://schemas.microsoft.com/office/drawing/2014/chart" uri="{C3380CC4-5D6E-409C-BE32-E72D297353CC}">
              <c16:uniqueId val="{00000000-705D-4494-8A40-5702441CD92E}"/>
            </c:ext>
          </c:extLst>
        </c:ser>
        <c:ser>
          <c:idx val="1"/>
          <c:order val="1"/>
          <c:tx>
            <c:strRef>
              <c:f>Sheet5!$C$24:$C$25</c:f>
              <c:strCache>
                <c:ptCount val="1"/>
                <c:pt idx="0">
                  <c:v>2</c:v>
                </c:pt>
              </c:strCache>
            </c:strRef>
          </c:tx>
          <c:spPr>
            <a:solidFill>
              <a:schemeClr val="accent2"/>
            </a:solidFill>
            <a:ln>
              <a:noFill/>
            </a:ln>
            <a:effectLst/>
          </c:spPr>
          <c:invertIfNegative val="0"/>
          <c:cat>
            <c:strRef>
              <c:f>Sheet5!$A$26:$A$29</c:f>
              <c:strCache>
                <c:ptCount val="3"/>
                <c:pt idx="0">
                  <c:v>Jan</c:v>
                </c:pt>
                <c:pt idx="1">
                  <c:v>Feb</c:v>
                </c:pt>
                <c:pt idx="2">
                  <c:v>Mar</c:v>
                </c:pt>
              </c:strCache>
            </c:strRef>
          </c:cat>
          <c:val>
            <c:numRef>
              <c:f>Sheet5!$C$26:$C$29</c:f>
              <c:numCache>
                <c:formatCode>General</c:formatCode>
                <c:ptCount val="3"/>
                <c:pt idx="0">
                  <c:v>37</c:v>
                </c:pt>
                <c:pt idx="1">
                  <c:v>51</c:v>
                </c:pt>
                <c:pt idx="2">
                  <c:v>39</c:v>
                </c:pt>
              </c:numCache>
            </c:numRef>
          </c:val>
          <c:extLst>
            <c:ext xmlns:c16="http://schemas.microsoft.com/office/drawing/2014/chart" uri="{C3380CC4-5D6E-409C-BE32-E72D297353CC}">
              <c16:uniqueId val="{00000001-705D-4494-8A40-5702441CD92E}"/>
            </c:ext>
          </c:extLst>
        </c:ser>
        <c:ser>
          <c:idx val="2"/>
          <c:order val="2"/>
          <c:tx>
            <c:strRef>
              <c:f>Sheet5!$D$24:$D$25</c:f>
              <c:strCache>
                <c:ptCount val="1"/>
                <c:pt idx="0">
                  <c:v>3</c:v>
                </c:pt>
              </c:strCache>
            </c:strRef>
          </c:tx>
          <c:spPr>
            <a:solidFill>
              <a:schemeClr val="accent3"/>
            </a:solidFill>
            <a:ln>
              <a:noFill/>
            </a:ln>
            <a:effectLst/>
          </c:spPr>
          <c:invertIfNegative val="0"/>
          <c:cat>
            <c:strRef>
              <c:f>Sheet5!$A$26:$A$29</c:f>
              <c:strCache>
                <c:ptCount val="3"/>
                <c:pt idx="0">
                  <c:v>Jan</c:v>
                </c:pt>
                <c:pt idx="1">
                  <c:v>Feb</c:v>
                </c:pt>
                <c:pt idx="2">
                  <c:v>Mar</c:v>
                </c:pt>
              </c:strCache>
            </c:strRef>
          </c:cat>
          <c:val>
            <c:numRef>
              <c:f>Sheet5!$D$26:$D$29</c:f>
              <c:numCache>
                <c:formatCode>General</c:formatCode>
                <c:ptCount val="3"/>
                <c:pt idx="0">
                  <c:v>150</c:v>
                </c:pt>
                <c:pt idx="1">
                  <c:v>182</c:v>
                </c:pt>
                <c:pt idx="2">
                  <c:v>163</c:v>
                </c:pt>
              </c:numCache>
            </c:numRef>
          </c:val>
          <c:extLst>
            <c:ext xmlns:c16="http://schemas.microsoft.com/office/drawing/2014/chart" uri="{C3380CC4-5D6E-409C-BE32-E72D297353CC}">
              <c16:uniqueId val="{00000002-705D-4494-8A40-5702441CD92E}"/>
            </c:ext>
          </c:extLst>
        </c:ser>
        <c:ser>
          <c:idx val="3"/>
          <c:order val="3"/>
          <c:tx>
            <c:strRef>
              <c:f>Sheet5!$E$24:$E$25</c:f>
              <c:strCache>
                <c:ptCount val="1"/>
                <c:pt idx="0">
                  <c:v>4</c:v>
                </c:pt>
              </c:strCache>
            </c:strRef>
          </c:tx>
          <c:spPr>
            <a:solidFill>
              <a:schemeClr val="accent4"/>
            </a:solidFill>
            <a:ln>
              <a:noFill/>
            </a:ln>
            <a:effectLst/>
          </c:spPr>
          <c:invertIfNegative val="0"/>
          <c:cat>
            <c:strRef>
              <c:f>Sheet5!$A$26:$A$29</c:f>
              <c:strCache>
                <c:ptCount val="3"/>
                <c:pt idx="0">
                  <c:v>Jan</c:v>
                </c:pt>
                <c:pt idx="1">
                  <c:v>Feb</c:v>
                </c:pt>
                <c:pt idx="2">
                  <c:v>Mar</c:v>
                </c:pt>
              </c:strCache>
            </c:strRef>
          </c:cat>
          <c:val>
            <c:numRef>
              <c:f>Sheet5!$E$26:$E$29</c:f>
              <c:numCache>
                <c:formatCode>General</c:formatCode>
                <c:ptCount val="3"/>
                <c:pt idx="0">
                  <c:v>312</c:v>
                </c:pt>
                <c:pt idx="1">
                  <c:v>373</c:v>
                </c:pt>
                <c:pt idx="2">
                  <c:v>351</c:v>
                </c:pt>
              </c:numCache>
            </c:numRef>
          </c:val>
          <c:extLst>
            <c:ext xmlns:c16="http://schemas.microsoft.com/office/drawing/2014/chart" uri="{C3380CC4-5D6E-409C-BE32-E72D297353CC}">
              <c16:uniqueId val="{00000003-705D-4494-8A40-5702441CD92E}"/>
            </c:ext>
          </c:extLst>
        </c:ser>
        <c:ser>
          <c:idx val="4"/>
          <c:order val="4"/>
          <c:tx>
            <c:strRef>
              <c:f>Sheet5!$F$24:$F$25</c:f>
              <c:strCache>
                <c:ptCount val="1"/>
                <c:pt idx="0">
                  <c:v>5</c:v>
                </c:pt>
              </c:strCache>
            </c:strRef>
          </c:tx>
          <c:spPr>
            <a:solidFill>
              <a:schemeClr val="accent5"/>
            </a:solidFill>
            <a:ln>
              <a:noFill/>
            </a:ln>
            <a:effectLst/>
          </c:spPr>
          <c:invertIfNegative val="0"/>
          <c:cat>
            <c:strRef>
              <c:f>Sheet5!$A$26:$A$29</c:f>
              <c:strCache>
                <c:ptCount val="3"/>
                <c:pt idx="0">
                  <c:v>Jan</c:v>
                </c:pt>
                <c:pt idx="1">
                  <c:v>Feb</c:v>
                </c:pt>
                <c:pt idx="2">
                  <c:v>Mar</c:v>
                </c:pt>
              </c:strCache>
            </c:strRef>
          </c:cat>
          <c:val>
            <c:numRef>
              <c:f>Sheet5!$F$26:$F$29</c:f>
              <c:numCache>
                <c:formatCode>General</c:formatCode>
                <c:ptCount val="3"/>
                <c:pt idx="0">
                  <c:v>224</c:v>
                </c:pt>
                <c:pt idx="1">
                  <c:v>247</c:v>
                </c:pt>
                <c:pt idx="2">
                  <c:v>250</c:v>
                </c:pt>
              </c:numCache>
            </c:numRef>
          </c:val>
          <c:extLst>
            <c:ext xmlns:c16="http://schemas.microsoft.com/office/drawing/2014/chart" uri="{C3380CC4-5D6E-409C-BE32-E72D297353CC}">
              <c16:uniqueId val="{00000004-705D-4494-8A40-5702441CD92E}"/>
            </c:ext>
          </c:extLst>
        </c:ser>
        <c:dLbls>
          <c:showLegendKey val="0"/>
          <c:showVal val="0"/>
          <c:showCatName val="0"/>
          <c:showSerName val="0"/>
          <c:showPercent val="0"/>
          <c:showBubbleSize val="0"/>
        </c:dLbls>
        <c:gapWidth val="219"/>
        <c:overlap val="-27"/>
        <c:axId val="1579958240"/>
        <c:axId val="1579955360"/>
      </c:barChart>
      <c:catAx>
        <c:axId val="157995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55360"/>
        <c:crosses val="autoZero"/>
        <c:auto val="1"/>
        <c:lblAlgn val="ctr"/>
        <c:lblOffset val="100"/>
        <c:noMultiLvlLbl val="0"/>
      </c:catAx>
      <c:valAx>
        <c:axId val="157995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5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me.xlsx]Sheet2!pvt_quantityPerCustomer</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8097222222222226"/>
          <c:w val="0.89019685039370078"/>
          <c:h val="0.67003098571011954"/>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1</c:v>
                </c:pt>
                <c:pt idx="1">
                  <c:v>2</c:v>
                </c:pt>
                <c:pt idx="2">
                  <c:v>3</c:v>
                </c:pt>
                <c:pt idx="3">
                  <c:v>4</c:v>
                </c:pt>
                <c:pt idx="4">
                  <c:v>5</c:v>
                </c:pt>
                <c:pt idx="5">
                  <c:v>6 TO 10</c:v>
                </c:pt>
                <c:pt idx="6">
                  <c:v>More than 10</c:v>
                </c:pt>
              </c:strCache>
            </c:strRef>
          </c:cat>
          <c:val>
            <c:numRef>
              <c:f>Sheet2!$B$4:$B$11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2C1E-465D-B896-6C81D12D24BA}"/>
            </c:ext>
          </c:extLst>
        </c:ser>
        <c:dLbls>
          <c:dLblPos val="outEnd"/>
          <c:showLegendKey val="0"/>
          <c:showVal val="1"/>
          <c:showCatName val="0"/>
          <c:showSerName val="0"/>
          <c:showPercent val="0"/>
          <c:showBubbleSize val="0"/>
        </c:dLbls>
        <c:gapWidth val="5"/>
        <c:overlap val="-27"/>
        <c:axId val="1347066544"/>
        <c:axId val="1347060304"/>
      </c:barChart>
      <c:catAx>
        <c:axId val="134706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060304"/>
        <c:crosses val="autoZero"/>
        <c:auto val="1"/>
        <c:lblAlgn val="ctr"/>
        <c:lblOffset val="100"/>
        <c:noMultiLvlLbl val="0"/>
      </c:catAx>
      <c:valAx>
        <c:axId val="1347060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06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me.xlsx]Sheet3!PrudctGender_quantity</c:name>
    <c:fmtId val="1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Sheet3!$B$3:$B$4</c:f>
              <c:strCache>
                <c:ptCount val="1"/>
                <c:pt idx="0">
                  <c:v>Female</c:v>
                </c:pt>
              </c:strCache>
            </c:strRef>
          </c:tx>
          <c:spPr>
            <a:solidFill>
              <a:schemeClr val="accent1"/>
            </a:solidFill>
            <a:ln>
              <a:noFill/>
            </a:ln>
            <a:effectLst/>
            <a:sp3d/>
          </c:spPr>
          <c:invertIfNegative val="0"/>
          <c:cat>
            <c:strRef>
              <c:f>Sheet3!$A$5:$A$25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Sheet3!$B$5:$B$25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1080-4727-9CE1-79A8AA7DCFB4}"/>
            </c:ext>
          </c:extLst>
        </c:ser>
        <c:ser>
          <c:idx val="1"/>
          <c:order val="1"/>
          <c:tx>
            <c:strRef>
              <c:f>Sheet3!$C$3:$C$4</c:f>
              <c:strCache>
                <c:ptCount val="1"/>
                <c:pt idx="0">
                  <c:v>Male</c:v>
                </c:pt>
              </c:strCache>
            </c:strRef>
          </c:tx>
          <c:spPr>
            <a:solidFill>
              <a:schemeClr val="accent3"/>
            </a:solidFill>
            <a:ln>
              <a:noFill/>
            </a:ln>
            <a:effectLst/>
            <a:sp3d/>
          </c:spPr>
          <c:invertIfNegative val="0"/>
          <c:cat>
            <c:strRef>
              <c:f>Sheet3!$A$5:$A$25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Sheet3!$C$5:$C$25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1080-4727-9CE1-79A8AA7DCFB4}"/>
            </c:ext>
          </c:extLst>
        </c:ser>
        <c:ser>
          <c:idx val="2"/>
          <c:order val="2"/>
          <c:tx>
            <c:strRef>
              <c:f>Sheet3!$D$3:$D$4</c:f>
              <c:strCache>
                <c:ptCount val="1"/>
                <c:pt idx="0">
                  <c:v>Other</c:v>
                </c:pt>
              </c:strCache>
            </c:strRef>
          </c:tx>
          <c:spPr>
            <a:solidFill>
              <a:schemeClr val="accent5"/>
            </a:solidFill>
            <a:ln>
              <a:noFill/>
            </a:ln>
            <a:effectLst/>
            <a:sp3d/>
          </c:spPr>
          <c:invertIfNegative val="0"/>
          <c:cat>
            <c:strRef>
              <c:f>Sheet3!$A$5:$A$25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Sheet3!$D$5:$D$25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1080-4727-9CE1-79A8AA7DCFB4}"/>
            </c:ext>
          </c:extLst>
        </c:ser>
        <c:ser>
          <c:idx val="3"/>
          <c:order val="3"/>
          <c:tx>
            <c:strRef>
              <c:f>Sheet3!$E$3:$E$4</c:f>
              <c:strCache>
                <c:ptCount val="1"/>
                <c:pt idx="0">
                  <c:v>Unknown</c:v>
                </c:pt>
              </c:strCache>
            </c:strRef>
          </c:tx>
          <c:spPr>
            <a:solidFill>
              <a:schemeClr val="accent1">
                <a:lumMod val="60000"/>
              </a:schemeClr>
            </a:solidFill>
            <a:ln>
              <a:noFill/>
            </a:ln>
            <a:effectLst/>
            <a:sp3d/>
          </c:spPr>
          <c:invertIfNegative val="0"/>
          <c:cat>
            <c:strRef>
              <c:f>Sheet3!$A$5:$A$25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Sheet3!$E$5:$E$25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1080-4727-9CE1-79A8AA7DCFB4}"/>
            </c:ext>
          </c:extLst>
        </c:ser>
        <c:dLbls>
          <c:showLegendKey val="0"/>
          <c:showVal val="0"/>
          <c:showCatName val="0"/>
          <c:showSerName val="0"/>
          <c:showPercent val="0"/>
          <c:showBubbleSize val="0"/>
        </c:dLbls>
        <c:gapWidth val="150"/>
        <c:shape val="box"/>
        <c:axId val="1562996064"/>
        <c:axId val="1563011904"/>
        <c:axId val="0"/>
      </c:bar3DChart>
      <c:catAx>
        <c:axId val="1562996064"/>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11904"/>
        <c:crosses val="autoZero"/>
        <c:auto val="1"/>
        <c:lblAlgn val="ctr"/>
        <c:lblOffset val="100"/>
        <c:noMultiLvlLbl val="0"/>
      </c:catAx>
      <c:valAx>
        <c:axId val="156301190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99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me.xlsx]Sheet5!deliveru_days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Days</a:t>
            </a:r>
            <a:r>
              <a:rPr lang="en-US" baseline="0"/>
              <a:t> to deliver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6"/>
            </a:solidFill>
            <a:ln>
              <a:noFill/>
            </a:ln>
            <a:effectLst/>
          </c:spPr>
          <c:invertIfNegative val="0"/>
          <c:cat>
            <c:strRef>
              <c:f>Sheet5!$A$4:$A$19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Sheet5!$B$4:$B$19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7BEA-4EC6-B48F-38A46D48CB23}"/>
            </c:ext>
          </c:extLst>
        </c:ser>
        <c:dLbls>
          <c:showLegendKey val="0"/>
          <c:showVal val="0"/>
          <c:showCatName val="0"/>
          <c:showSerName val="0"/>
          <c:showPercent val="0"/>
          <c:showBubbleSize val="0"/>
        </c:dLbls>
        <c:gapWidth val="219"/>
        <c:overlap val="-27"/>
        <c:axId val="1287234592"/>
        <c:axId val="1287235552"/>
      </c:barChart>
      <c:catAx>
        <c:axId val="1287234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a:t>
                </a:r>
                <a:r>
                  <a:rPr lang="en-US" baseline="0"/>
                  <a:t> of days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235552"/>
        <c:crosses val="autoZero"/>
        <c:auto val="1"/>
        <c:lblAlgn val="ctr"/>
        <c:lblOffset val="100"/>
        <c:noMultiLvlLbl val="0"/>
      </c:catAx>
      <c:valAx>
        <c:axId val="1287235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23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(Recovered) me.xlsx]Sheet5!rating</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Sheet5!$B$24:$B$25</c:f>
              <c:strCache>
                <c:ptCount val="1"/>
                <c:pt idx="0">
                  <c:v>1</c:v>
                </c:pt>
              </c:strCache>
            </c:strRef>
          </c:tx>
          <c:spPr>
            <a:solidFill>
              <a:schemeClr val="accent1"/>
            </a:solidFill>
            <a:ln>
              <a:noFill/>
            </a:ln>
            <a:effectLst/>
          </c:spPr>
          <c:invertIfNegative val="0"/>
          <c:cat>
            <c:strRef>
              <c:f>Sheet5!$A$26:$A$29</c:f>
              <c:strCache>
                <c:ptCount val="3"/>
                <c:pt idx="0">
                  <c:v>Jan</c:v>
                </c:pt>
                <c:pt idx="1">
                  <c:v>Feb</c:v>
                </c:pt>
                <c:pt idx="2">
                  <c:v>Mar</c:v>
                </c:pt>
              </c:strCache>
            </c:strRef>
          </c:cat>
          <c:val>
            <c:numRef>
              <c:f>Sheet5!$B$26:$B$29</c:f>
              <c:numCache>
                <c:formatCode>General</c:formatCode>
                <c:ptCount val="3"/>
                <c:pt idx="0">
                  <c:v>7</c:v>
                </c:pt>
                <c:pt idx="1">
                  <c:v>8</c:v>
                </c:pt>
                <c:pt idx="2">
                  <c:v>6</c:v>
                </c:pt>
              </c:numCache>
            </c:numRef>
          </c:val>
          <c:extLst>
            <c:ext xmlns:c16="http://schemas.microsoft.com/office/drawing/2014/chart" uri="{C3380CC4-5D6E-409C-BE32-E72D297353CC}">
              <c16:uniqueId val="{00000000-CA02-4FAF-93D8-866FAF1708E7}"/>
            </c:ext>
          </c:extLst>
        </c:ser>
        <c:ser>
          <c:idx val="1"/>
          <c:order val="1"/>
          <c:tx>
            <c:strRef>
              <c:f>Sheet5!$C$24:$C$25</c:f>
              <c:strCache>
                <c:ptCount val="1"/>
                <c:pt idx="0">
                  <c:v>2</c:v>
                </c:pt>
              </c:strCache>
            </c:strRef>
          </c:tx>
          <c:spPr>
            <a:solidFill>
              <a:schemeClr val="accent2"/>
            </a:solidFill>
            <a:ln>
              <a:noFill/>
            </a:ln>
            <a:effectLst/>
          </c:spPr>
          <c:invertIfNegative val="0"/>
          <c:cat>
            <c:strRef>
              <c:f>Sheet5!$A$26:$A$29</c:f>
              <c:strCache>
                <c:ptCount val="3"/>
                <c:pt idx="0">
                  <c:v>Jan</c:v>
                </c:pt>
                <c:pt idx="1">
                  <c:v>Feb</c:v>
                </c:pt>
                <c:pt idx="2">
                  <c:v>Mar</c:v>
                </c:pt>
              </c:strCache>
            </c:strRef>
          </c:cat>
          <c:val>
            <c:numRef>
              <c:f>Sheet5!$C$26:$C$29</c:f>
              <c:numCache>
                <c:formatCode>General</c:formatCode>
                <c:ptCount val="3"/>
                <c:pt idx="0">
                  <c:v>37</c:v>
                </c:pt>
                <c:pt idx="1">
                  <c:v>51</c:v>
                </c:pt>
                <c:pt idx="2">
                  <c:v>39</c:v>
                </c:pt>
              </c:numCache>
            </c:numRef>
          </c:val>
          <c:extLst>
            <c:ext xmlns:c16="http://schemas.microsoft.com/office/drawing/2014/chart" uri="{C3380CC4-5D6E-409C-BE32-E72D297353CC}">
              <c16:uniqueId val="{00000001-CA02-4FAF-93D8-866FAF1708E7}"/>
            </c:ext>
          </c:extLst>
        </c:ser>
        <c:ser>
          <c:idx val="2"/>
          <c:order val="2"/>
          <c:tx>
            <c:strRef>
              <c:f>Sheet5!$D$24:$D$25</c:f>
              <c:strCache>
                <c:ptCount val="1"/>
                <c:pt idx="0">
                  <c:v>3</c:v>
                </c:pt>
              </c:strCache>
            </c:strRef>
          </c:tx>
          <c:spPr>
            <a:solidFill>
              <a:schemeClr val="accent3"/>
            </a:solidFill>
            <a:ln>
              <a:noFill/>
            </a:ln>
            <a:effectLst/>
          </c:spPr>
          <c:invertIfNegative val="0"/>
          <c:cat>
            <c:strRef>
              <c:f>Sheet5!$A$26:$A$29</c:f>
              <c:strCache>
                <c:ptCount val="3"/>
                <c:pt idx="0">
                  <c:v>Jan</c:v>
                </c:pt>
                <c:pt idx="1">
                  <c:v>Feb</c:v>
                </c:pt>
                <c:pt idx="2">
                  <c:v>Mar</c:v>
                </c:pt>
              </c:strCache>
            </c:strRef>
          </c:cat>
          <c:val>
            <c:numRef>
              <c:f>Sheet5!$D$26:$D$29</c:f>
              <c:numCache>
                <c:formatCode>General</c:formatCode>
                <c:ptCount val="3"/>
                <c:pt idx="0">
                  <c:v>150</c:v>
                </c:pt>
                <c:pt idx="1">
                  <c:v>182</c:v>
                </c:pt>
                <c:pt idx="2">
                  <c:v>163</c:v>
                </c:pt>
              </c:numCache>
            </c:numRef>
          </c:val>
          <c:extLst>
            <c:ext xmlns:c16="http://schemas.microsoft.com/office/drawing/2014/chart" uri="{C3380CC4-5D6E-409C-BE32-E72D297353CC}">
              <c16:uniqueId val="{00000002-CA02-4FAF-93D8-866FAF1708E7}"/>
            </c:ext>
          </c:extLst>
        </c:ser>
        <c:ser>
          <c:idx val="3"/>
          <c:order val="3"/>
          <c:tx>
            <c:strRef>
              <c:f>Sheet5!$E$24:$E$25</c:f>
              <c:strCache>
                <c:ptCount val="1"/>
                <c:pt idx="0">
                  <c:v>4</c:v>
                </c:pt>
              </c:strCache>
            </c:strRef>
          </c:tx>
          <c:spPr>
            <a:solidFill>
              <a:schemeClr val="accent4"/>
            </a:solidFill>
            <a:ln>
              <a:noFill/>
            </a:ln>
            <a:effectLst/>
          </c:spPr>
          <c:invertIfNegative val="0"/>
          <c:cat>
            <c:strRef>
              <c:f>Sheet5!$A$26:$A$29</c:f>
              <c:strCache>
                <c:ptCount val="3"/>
                <c:pt idx="0">
                  <c:v>Jan</c:v>
                </c:pt>
                <c:pt idx="1">
                  <c:v>Feb</c:v>
                </c:pt>
                <c:pt idx="2">
                  <c:v>Mar</c:v>
                </c:pt>
              </c:strCache>
            </c:strRef>
          </c:cat>
          <c:val>
            <c:numRef>
              <c:f>Sheet5!$E$26:$E$29</c:f>
              <c:numCache>
                <c:formatCode>General</c:formatCode>
                <c:ptCount val="3"/>
                <c:pt idx="0">
                  <c:v>312</c:v>
                </c:pt>
                <c:pt idx="1">
                  <c:v>373</c:v>
                </c:pt>
                <c:pt idx="2">
                  <c:v>351</c:v>
                </c:pt>
              </c:numCache>
            </c:numRef>
          </c:val>
          <c:extLst>
            <c:ext xmlns:c16="http://schemas.microsoft.com/office/drawing/2014/chart" uri="{C3380CC4-5D6E-409C-BE32-E72D297353CC}">
              <c16:uniqueId val="{00000003-CA02-4FAF-93D8-866FAF1708E7}"/>
            </c:ext>
          </c:extLst>
        </c:ser>
        <c:ser>
          <c:idx val="4"/>
          <c:order val="4"/>
          <c:tx>
            <c:strRef>
              <c:f>Sheet5!$F$24:$F$25</c:f>
              <c:strCache>
                <c:ptCount val="1"/>
                <c:pt idx="0">
                  <c:v>5</c:v>
                </c:pt>
              </c:strCache>
            </c:strRef>
          </c:tx>
          <c:spPr>
            <a:solidFill>
              <a:schemeClr val="accent5"/>
            </a:solidFill>
            <a:ln>
              <a:noFill/>
            </a:ln>
            <a:effectLst/>
          </c:spPr>
          <c:invertIfNegative val="0"/>
          <c:cat>
            <c:strRef>
              <c:f>Sheet5!$A$26:$A$29</c:f>
              <c:strCache>
                <c:ptCount val="3"/>
                <c:pt idx="0">
                  <c:v>Jan</c:v>
                </c:pt>
                <c:pt idx="1">
                  <c:v>Feb</c:v>
                </c:pt>
                <c:pt idx="2">
                  <c:v>Mar</c:v>
                </c:pt>
              </c:strCache>
            </c:strRef>
          </c:cat>
          <c:val>
            <c:numRef>
              <c:f>Sheet5!$F$26:$F$29</c:f>
              <c:numCache>
                <c:formatCode>General</c:formatCode>
                <c:ptCount val="3"/>
                <c:pt idx="0">
                  <c:v>224</c:v>
                </c:pt>
                <c:pt idx="1">
                  <c:v>247</c:v>
                </c:pt>
                <c:pt idx="2">
                  <c:v>250</c:v>
                </c:pt>
              </c:numCache>
            </c:numRef>
          </c:val>
          <c:extLst>
            <c:ext xmlns:c16="http://schemas.microsoft.com/office/drawing/2014/chart" uri="{C3380CC4-5D6E-409C-BE32-E72D297353CC}">
              <c16:uniqueId val="{00000004-CA02-4FAF-93D8-866FAF1708E7}"/>
            </c:ext>
          </c:extLst>
        </c:ser>
        <c:dLbls>
          <c:showLegendKey val="0"/>
          <c:showVal val="0"/>
          <c:showCatName val="0"/>
          <c:showSerName val="0"/>
          <c:showPercent val="0"/>
          <c:showBubbleSize val="0"/>
        </c:dLbls>
        <c:gapWidth val="219"/>
        <c:overlap val="-27"/>
        <c:axId val="1579958240"/>
        <c:axId val="1579955360"/>
      </c:barChart>
      <c:catAx>
        <c:axId val="157995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55360"/>
        <c:crosses val="autoZero"/>
        <c:auto val="1"/>
        <c:lblAlgn val="ctr"/>
        <c:lblOffset val="100"/>
        <c:noMultiLvlLbl val="0"/>
      </c:catAx>
      <c:valAx>
        <c:axId val="157995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5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Where do our customers live?</a:t>
            </a:r>
            <a:r>
              <a:rPr lang="en-US">
                <a:effectLst/>
              </a:rPr>
              <a:t> </a:t>
            </a:r>
            <a:r>
              <a:rPr lang="en-US" sz="1400" b="0" i="0" u="none" strike="noStrike" baseline="0">
                <a:solidFill>
                  <a:sysClr val="windowText" lastClr="000000">
                    <a:lumMod val="65000"/>
                    <a:lumOff val="35000"/>
                  </a:sysClr>
                </a:solidFill>
                <a:latin typeface="Aptos Narrow" panose="02110004020202020204"/>
              </a:rPr>
              <a:t> </a:t>
            </a:r>
          </a:p>
        </cx:rich>
      </cx:tx>
    </cx:title>
    <cx:plotArea>
      <cx:plotAreaRegion>
        <cx:plotSurface>
          <cx:spPr>
            <a:ln>
              <a:solidFill>
                <a:schemeClr val="tx1">
                  <a:lumMod val="95000"/>
                  <a:lumOff val="5000"/>
                  <a:alpha val="99000"/>
                </a:schemeClr>
              </a:solidFill>
            </a:ln>
          </cx:spPr>
        </cx:plotSurface>
        <cx:series layoutId="regionMap" uniqueId="{F753AA57-269E-4BA3-B886-7D025DD2A53E}">
          <cx:tx>
            <cx:txData>
              <cx:f>_xlchart.v5.2</cx:f>
              <cx:v>Sum of Quantity</cx:v>
            </cx:txData>
          </cx:tx>
          <cx:spPr>
            <a:ln>
              <a:solidFill>
                <a:schemeClr val="tx1">
                  <a:lumMod val="95000"/>
                  <a:lumOff val="5000"/>
                </a:schemeClr>
              </a:solidFill>
            </a:ln>
          </cx:spPr>
          <cx:dataId val="0"/>
          <cx:layoutPr>
            <cx:geography cultureLanguage="en-US" cultureRegion="EG" attribution="Powered by Bing">
              <cx:geoCache provider="{E9337A44-BEBE-4D9F-B70C-5C5E7DAFC167}">
                <cx:binary>7H1pb9y40u5fCfL5ysNFEsmDMwcYLd3e7cSJs3wROnZH+0Zq//VvyUuOW93OyBfTwH0btz3BwFYX
VdJD1s7iv++6f90l65V816VJpv511/35Pqiq4l9//KHugnW6UkdpeCdzlf+sju7y9I/858/wbv3H
vVy1Yeb/QRDW/7gLVrJad+//828YzV/n5/ndqgrz7EO9lv3HtaqTSv3m2s5L71b3aZg5oapkeFfh
P9/bqyT8mcssXL3fvEb+fP9XskrX96t3dl5nVf/+3Tqrwqr/1BfrP99vjEPev/tjerst1t4lwH1V
3wMxZUcc6Zxwk4qHD3v/Lskz/+myhgk5IozozISRH+96Cay8iaMHflb393KtFDzZw/+3B9h4DHgb
f/39W7gb38YIgA9Y/Pn+cxZW6/t3N9WqWqv370KVP7wu2dv5+Kifbx7ezR+bEP7n35M/wNua/OUF
ytNX+3eXNoH8G5DtPKnVPjAWRwQJQk1soIcPQDnFGCFOTaEbmyDP52g3xhP6GRBPKA4M4b+SIszW
e1jF/MgU1ACA9cdVzCcIY3HE4GMYTN9EeD5HuxGe0M9AeEJxYAiDEF81a7lSewEZC5Ngwtgryxgd
mXxc6Lq5CfKbmNqN8/YQM6DeJjowtL/lSb4XoE3GdKEjEMebghrDMtYZxibeRHguI7vB3aCegevG
9w8M0r/S1X0u9wIqBSsKEQ4SeBNUBKASIigSD+t6Au18hnaDO6GfAe+E4sAAtnOwGUcrS1X7sLX4
EcJcCErZbk0M9jSmOjcYBh390qB+K1+70d45ygzMd9IdGPJWXVX7ML7EkYFB6aLXjC+CjwxDNzEm
k6U9m6HdWG+SzwB5k+DA0HXWybvLHNz0f15266B2DR2E9Liyx8+Wk6yDh6VTcJInXvKbmNqN8vYQ
M5DeJjowtM9X8R6ApuIIYMQMgTJ+zVMW2MAmZxMTey4/uzHeoJ4B78b3DwxZN3nn5BKMsH9+HVN+
xIgwDfIU6xJihykmBAb1bO4yxd7E2m6kt4eYAfc20YFhfhOu5YNNBvG8fzS6CarZRBTCm/rjeqbb
gMNFxE3+GBqbKOj5fO1Ge0I/A+oJxYHhfLGWdxChtfcQxabIFCbg+Kigp/Evgo50jgXD7HEiTHCe
z9dunCf0M3CeUBwYzgsI9Wf7EODmEaPYNAyMH3GeCvAxzskN+MGTSPZ8jnYjPKGfgfCE4sAQvlll
787rUL27+hGqYh9QG0eEExMLnT+Kbliy07CJCVoavCqYBC8d6f8L1nZj/tpAM8B/jfTAZsEyWWfZ
HsQ5qG2CDCwIWNmboEP0RHDMqDFxtGZzshvqTfIZAG8SHBisN3my2ov45kfEAOuasSf3amtNE/C/
BNhi0wzGfI524zuhnwHwhOLQEF7dSUjjZ9U+JDc/MhikI0FwPyrprWgJPoLkBvxAzGz8TIyxmzfx
9gre22PMwXyb6sBwv1hn9/lduJfFLY7wmH1mDL+isCkEyZhJ6Rg+e6mw38TUbry3h5gB9zbRgaF9
XKc/8uS++uc1tA45K25iXd/W0PoRZCcpArf6cfVvYv0WlnZDvTXCDKS3aA4M6NHcdMK1vw9pTo4Y
NpghyNSnxgyQphxzauxC+k087YZ6e4gZWG8THRjYV3KV+fsIftMjNsY+uflaERHUChqQpTanGns+
R7txntDPAHlCcWAIn0Hh6T4KiMwjCsVDRNefFuyO6IkJ1yBPOdHQsxnaje8m+Qx4NwkODN2TtFjL
cJX881qZgqwGOW1ACuvRBJuGu7EB8XADwmdQiDJ+Jpb3WzjbjfTWCDPA3qI5MLzP1nIfMRLjiLKH
ooNHKEcsN0IlEAodK1EwLPlNE2wuP7sR3qCege7G9w8M2ZOs34fFZUJJPoEAGJQAPhtWm8hyCIIJ
0+R8UkI0l5/dyG5Qz0B24/sHhuynGmrx072UarMjwYnQdf2x2m9r3UKqChKWGHMC0vulm/wWnnYj
vDXCDJS3aA4M6YuVDPchngFmpoPfhJ5qDabeE9QBGhRzk4nJIp7N0G6MN8lnALxJcGDonq+UWu8B
Xoh/6LDZggvyaGihqaUFq9iEyzoAvLmK53O0G98J/QyAJxQHhjC4+2Mdr6yHPdjT5riIsY6w+aiI
dyxiKOiGBKWYlIO9javdSO8YYwbaO6gODPGLfC/h6zE3ZUBQ8ylsuVXjCfY0AawFFAdurui5/OxG
eYN6Br4b3z8wZM9z9e4viG0l631EP/QjZBBC+XP0Y7qYMcwAncImDaj/3OEcv5G53WjvGmQG6LvI
Dgz7i9U9bJvbjww3CdQLgCn2DOuGNwWaGpmQrNTxdF3P5mg31pMnmgHzhOLAEL4BuZ3uA2F+pFNh
Ckae9kVu2WIPKQxTB4w3Jfd8jnYjPKGfgfCE4sAQHl2JIt/LFnYG9Zs6rGH+ZHDviHYJU2cc5sBz
zOSl7/wWznZjvTXCDLS3aA4N7xyKCf55kQ3bbSA4IiAR8WR2b1WBoSNDJ7DdCk9CJBdzGXoF4w3y
OQBvEBwculm1luv+nweYmkcmgy3OFL0msfGRaZi6SaddR8D6nc3TaxhPRpgF84TmwJC+XBX70csE
lLIO6cRHy2uHXoYiEdg3ySfFnHP52Y3wBvUMdDe+f2jIrpvVXtoGgTNsEsYperKqt7DFkH2CfjL6
NDJyOZujV9DdpJ+D7ybFgSH8rf6xj7U7FvNhSBRDuOPhs9UyCPY0wyZIDjJ606aey89udDeoZ2C7
8f0DQ/Yxkmet5I/VXhxj/UgnsPMNan5eSTMKaCrEqY6hMdTDZxPoN7O3G/Hdw8yAfjfhgc2B62R1
t95PNxKIZI7VXk9ZyF3ym411JOTX5HjpT83nazfqE/oZcE8oDg7nGjoR7sHSFkeCmgx2PD8tcshG
TaNfkKQCX4tONsxdQ/57HkevIbxBPwvhDYoDQ/hjCG3BVHi/n8JNwZFB6VMl0FZJAVTqUmgaBmV9
kxDnm5jajfP2EDOg3iY6MLQ/1clK7gNqKOGkCEMQ7JXqkTFLJaAwCBsTu2w+R7txntDPAHlCcWAI
g/nxzlpDx9E9VYAZsFMO0ha/tO+m1IYIGSIINmBs553fwNVupHc82Qy0d1AdJOIyW8n7/Wyggp0z
0IUV9lM87Y6c2mQgxqFwDIHdtmWJA+hvYex3wG+NMxv8LcoDnAAL2HxxF6q7/BmCf6YHM4MaEgZi
+5XlTkZXDRuc7kD+F0dzrMfXgd8eZibu24SHBnuw2kurQKghg3a8sIOKvhZjIVAJCiIB2iA8z7bH
3ts3szl6Be9N+jlAb1IcGsKgy0/zVVnvqxIU6kB1Akv44TMV69AekAjYlCPE7h5Eb2PuFcR3DDIH
9h1kB4j9BTSM34cZ95C0Zgx860e5vuV8Q299wmHXtD7ZiDMaU7OZeh3xzSFm4r1JdGhohyoO+7ye
oyvfdpDC2COSgoomzwcpgKretNnJkQkt2g0oNppI8zfw9ArW0xHmQD2lOTSkH+uCwQ3fR3oEAipQ
KAhdIl/rN4aPRicc8l+TsBqs7LFceS5br+C9Y5A5kO8gOzTUq1UWqmRV7yOWyqCkH0HrIfO15qCQ
80RjCSmbbOmAE0newNUrmG+PMQfybapDQ3xs6ryPDAlkQCkhcNzCU+R8Wi4MZps5djPaynDfzObo
FaQ36eegvElxYAh/WgerfdSNgv8F+6BNKAp/JQE6Hn0E6U/o3P1ouU+MtPl87cZ5Qj8D5wnFoeEM
G/HgUKs9mGbQrAZ2QYMT9pTI3mGHj2VIkOieQjyfpVcwngwwB+QJyYGhfAtp5HovNhn0YIdOvhS9
dvLCQ2oEMtommqjnN7C0G+XpADNQnpL8L0D59yxuPPN40Nlfz17Ojgjp2w+pg2pf04RKlccQCizT
Dd8KoDUx1P9DzdKjp/1878d4GZxD9Otkvccqhl087cb2Je3GMz4+4u9fyn6OoHv9eLpfJ/05q2rl
PpwR+OKEut9ffXh8ONtwQvq0BX3HC/tVtHly/+d7KPGkBpyA8QLZcaCNDexPc/4Zm02yNQRZ/3yv
wb53cJPH03AYtHaFQ1Jgrbbrp0vQFpQJENNQVQiHFprgYWdw4EMApxjqRwKyogy21QvdhKJSmCAq
rx8uQdc5DG3KHqqN8cOl5ye9zpPez7Nfr+Xp93dZnV7nYVapP9+D91Y8fmvkFh4QClqh+TC4+dAU
S0CvSrh+t/o49uuBd/B/OqT5jZRZfTn0sV3K2vKVYYU8tV68lx23wQhU0vRGBnQtH4uvEIGzJUZG
XtwIJ1VTmpFeXKLaEJ/joNRMO2VJPxyD32lIm1ZZrZ8o5Q03EYl9C3qy6V8izvxvRR7xU+n34gyz
tLAKJo3uOujpR9rnTe6Yvc/UWRNHin5vutLk161XNs0iwrnuNHoTWmasJVdtlCjshkWREzdvk7qx
ueZ7kRUqL/saxr1wDT5I5Kjszkj09pLpRXKl16hIbFzESb/IvY7aSVNbWqLy1mJhm9Mr1GAjPm+S
6EpWcWulRdbZgbgGob02VHGflf7CU+gTa8rjrKVLQzPzJUHwFFoRukL3FiJ1jS498fq+dGicho6S
2En68mfAg49DoV9iUvysaXOTYD91W11G31icK0f4cX2hsUJelsowT5NQXBQiTdxhIMrKNI3+1COV
HetegC6zqizctPFKK0w0wyUtv6CVuFSZap2B8Mbxw4Esq4x97rH2NSFB6eRRYEirqnzCrJqSAKaF
l7qgrkIXtiPCEBVZ4NiUn6Ve0c4xeRZ8VH6juTXD0hUd6r7qSdjDWyR5Zam4lo6uyd6JjOFjaVb8
NICFc/n7OUZgbU6nGGyigB4x49EmFKb15hQre1n6fsflpXLTVSstfDPcMEuzSrs6zo49bAWO76ZL
5ko3s4xTfUFdcuzZ8d/MdQNW9As+OLQBhZMJIY4CjYkQ0qElwiYfRifb2ldBfukR/7RPgs6O/dKz
ilYnFmexcMvGowtJTBlaHkcXPpPeKQaMzLhM7Z71l8JDvcXJ8L3qcrFQxEsXcALswuPDd2Z4hhV5
WmB5Q/elTApmEVn2NlMRdbrWIxYOotQygs7tqVi2OLMjb7BLnXvWYIjjgWKrJ2QJPbWwVVYSJoXQ
7SbNjqNOd3KqSytHhdu2/jnx4sCKsxA7TRFaaRopBxbxZdsJuiz9KLYU9T/7bX6MaXpRdxxZGi+W
KIaJxkSpL2oU3fwe4k0hAm8WUsUmtNwcq7ApxCUnQkQMpBVF6slL1KTREgRBAg+PMlsLA9fIQ93S
S3/1+1uOTUo20Zzcc4Km1jVMNrGvLkuffjM8aXe1nzuDYsd6Wl/kpYcs35SFxcrSNhJVWYae9eeD
rAOLa8Z5HvKvKFSl1Sjtpxfri6IsL0hufkDecGf45fe0DUunzMri7IHxJ115/VLU3+VFL0M/eDqz
99ev//mUp/Dfw/Gv//3jeOTvf39brvPRplDTL433+fWt/x4hO+rAX+fJTjTr47nBz8roLRdf18kv
dasBWYcX4G2p45eWzaNV9KDjHqh+aWOoSRh3TCM42ciAvvow4LM2JlA/PFb/Q0yMg2U2pjCetLEO
XZzxuJMeVrMQcGgSrPhnbTx2PYEBId/NIe85KurnF7ABEdghT7+/1MZ4FFGb6hh8cziNx4StRBQy
bJMJXg00L8q67i5BWwi3ab2gsHIasdiOWdt8MDWjP426JotdhOLqW5XrzedYV11pKZGVX168vV3c
bC630TiAdyGgwx4cMgFHKo/O5EudDfO4iEVQN5ekzPClHw+ZZ9UsNwO7a6pcWE2r199YU2ihJVNe
lXYZSVDdHiwO3YZy3exeVBW6gjGC2iFJgj8PhsbxsjcNb417DXeL33O8QwXAJiuo4hdEGAxatqIJ
xyELANu+uqSd4fuO2Q3J5waML7qoWJ8bVtN3OHJC5nFrYGYfWn2M6DJtZI8d2eTVfdAphe1QKwxH
wYHZjVWlAWosEDWx7/qgFq/jWpymSgTKgSy4uFVBeRYnrdG5odLMi1AGTbr8/VNtwwCFywga4cFx
XNCg9OGhX5hOrNf8VisSBYrcE7e5zzGx9JjA1CiyurtuOyluCg8nX39/26lpCG0DwFxlFM5fhZ4/
hI5svbitgTpfL5SfXWZ8wJc4DurLTEk75F5w+/s7bSpMA413ElD+xaC7DGzQ4JN5VmR6P5QSFCYv
kL4q21wmS6/iPbHiInBRWSeDTVHPczuiRpv+3aQZJ8XLRQdPScb+ZDqcMwudfqe3B1siDPwsDS9Z
GRurNKqNVZyMPBhDqlxT5rnVI4B+2SZlS6wyztm6SoQ6aUWvn3cmlcimbZTHdsSy9DOVBaFOwPt+
XWhN4SBtSJltiFyXxwY1h/pv7I3xJJAp/2wUG7CtAc41hyZrm0AhszYyw/C0C1x76SqUlQLzWYur
TLdo32f+aRuE8Q+fi+K8G8pgYeZ6F9oEN+xnxYYht/vAZ7aeR806lJTdN0YRsNPfQ6xPrCIAmeoU
JtEYsYIEscFGPftiOpmSh0gGFb2I9LLwBHcqEQzLruqoWFRNXduyK9GHJu2N2gqCgNkSZ0tFZLFM
9ILYcVKmH4vESDuLJa3/pY3S/KRXVWUVRll8NlXMHa/MPLvOoyi0wopGreWBDXzZFpq6KrWBur6P
RWRpg5elNmmC9Ngwq+Qjifxrv89oZyU1Ky8rr/xUkVSjjtkQeJFhT0A26PUwWKjl0XkSGPybh2r9
NDA5Ph/8rhF2iwI9tWHShScal31qtT0fHNwamjNE3V2hyuqmRhoLrDatGPgEZX2ie4R8KgPcxkuP
aTi0hiD2fkCKTjZWmJXa9zplqVMUipzEeVac4FIk92FTmLDuaRrfhMLrmNWUun8qPVnbPbyHJXiO
4qps087VW1kuMO5w4yZweKdvN63PS7shgeemikqnLsRV4Gk+cjDOq2NQNaS1MxSZFq9Y8rVLUXBG
pChuDFoZy1pEGlkoMx1W3Mylq1AXDYsm5v5C6zq0Iippfyq/KAx7IBWqrcwnjb/oqiiHxdG2bu83
NV/I3AucpKLpcQZftUABSXDhmrRhVqSiSLOZ1zKL5UY3WHqVeOAXalm6lGbs+nrdow8txboTKokS
K4KZVC1o1Qq17Cjrzs14GBLvQ92WVZpafZj0mbwPvICQ4ZtqtY6lgSUkiPL8jvRpVFEJB0zWdYEu
q7hK4+5UhOWwbERdeSepDMPCikiS3yCm0ZOop7S2a8DAs/oSiQ7gSjl3Ms8DfVglcVuC/d76yJZJ
hb2roEQmy4/jnrWB03eJqM5NVVGYUa2XY9XaNejChakFkXfVwNIxfbvkBYcJR2OVLrIklMJKSlBe
nts1oWlrHkSTDKv3UKbDWbBemoKnWbfeok1YkrrKA6tgYWR+Oth8MEBiZiTWazsNpJaA8dn76lqF
Wpq6uR/yn1rdsBA5KCfVMtR5zS8NzfO904yyihmRnXWqHPpjBcl/GbiFH7DU9VQzlAshVRYu+sRM
+2OkVFrYBumT0Gad0SdLGZahZgOs5ItWpAN2oMg/Th34h7SrJEKagleeZV+iNBXpCZWiStw4qMyP
Q11Ruoi0nOCzoA0UyywWkKBaerIpshtQxvQ08gcSL+oCOHDzKvEHl+NuEDaP+qK9SHkPU1uDpSId
D+P6VFLDSBzfo37tsKwBOEOmwD7JhogO6ySGHhwOBwZSh/ZpUJ5gFOrHfshi0yZxXFInzEPPGWov
NiytlYW4jrw20m0altEAvn40aGfIS/QFLjzfAHYFK1zcB0N+EoS49d1Y6EFrjd+zsAhFBtPHp6Xd
taE2WFUXat8lNOTsNSuEdUQu8ZCFQ2jxRtfopz5pSX1pFqLPnUyU1YVRZ6CSfMViIBAphbflhQHO
vg04yYLTsk+TbqFaYwjPcOVXn/SIGCuj81LP4hgm76LOOkZdZQ4hMF/jKHUSWsbK5q3nhjgsvyVt
C5ZF5EfNDcQU2h+FDOhxw1rfc3lsIGJl3INxjCSPukUmG3w5dAXVP6jKwJ9wpcE3WlNT3K5wzzq3
IWkUHsuOkPYkY74iV6HGxG2GynFyRlGplixRgbruer3iNipbwCZoM2AsVyB0z0CDiVvKEczuFKSk
dOBAtC4/qZTwyHUk6zj+SHgm9JNOj9r6ouqq0fgM+u7aiDWzgzBPCrfO82ForI6k1QC+KRsffmS9
BfkEfBUpvtSNDJ6iLg14VUGcx4Mt4gaWTpH4cfghkwyWvKzBKvDhGshUUmXBVYn1XmYWLQIEcLey
qy9SLSiUFaK67BYddAqgbt+UZBQasJhseCIQIJ3Ao51cZemtB6c6nvImDLnFAyOGedH75qrNKLDR
yaj/SKsOqTMfzNzoLC+yOLrhoC2WKkP4shR++Q1K6s3SCvQgJKc590V95gW53zi9ZGULBm5PlwWB
12ojVvZ3cRIb112tUH5cor6Jv7Rm6qvj1NPSn/0gRhkSlknggB/AqRuSPlCLwkzFFw1B/CFtCx/8
eh3EXC/b4GOYV+pMpHFkOAaRxAexB2EZqwmIuJWR1vhuQjJYJoPmUXGiZzku1ykI5P4UTkOCtdGO
EtuNDA3eaNcMjQtKpi3PsKyJaXsCwoWgaWmDwPQuo+9SNOKT1oOZfjqISuL7SmW9slKIuDYnYUtg
qC7FwWDrrW/6JwXA0tpaLMzFkDdNddH1LLmJGnDDOVPguHeNcTy0JoATI6yGZZHEeX6RmZ1+rlVI
z92gzNLmzO/bIrC5odLgE1gi6h6JDMQIiE7VWHGgWmWJtuElaIG+vEn8EodfcT5Q3lgDWGD956Ki
moDBlCfdgGmxf6p5Rfsj8JHW2AlTZnwSQiD4Q6c0b1jKulShGw41TNKQVBG97uJkMC5Ts0gSqywa
ZF7oONA7uwfrRrltUABqLc9C35IDS0F2KJW4uKOddJqEcLkceAmzP9Y7nzm91yNle4Uyyy+t0eNP
USBhroGmE7cw11N1nYkMg4AlhYgWPA3M1urqb4TXLcdWHDfss0GysnVaw6/0C91LePOx9JSQoNxh
RrtFSAFNcBz67jykVZyfM1kE9Jp0KDFPPIhlwXN1neZfxFIrWidVHsgMsMbq6iJJPOBfithfqIDH
gdN2CJ30pQ7rvjdNFloQy2QXD1bpPx0juQjvZK7yn9U0SPIyRvKf/8cjKTuyGwg8oT+ewxVb4ZS/
kiLM1i8DMI85kZHqVzgFMhg6oVB0MPZOIGPX0F/hFGhDBrkF+DwGTcAreU5ucNjDCR/Y4WdAcN9k
wNpzOIVDR384jBiO54A2s1Cq8LZwypbTAXkNSKIAg7B/TAfnGe700unwJWujiPLkSsPlNz+sQCrW
yQ/cGycJTjMrMgdbydplRmqhhi0G6p+LHkKcPAVN0qblSRqWqVX7mi1ZTRa+gRYopzdt2BCXs7y2
G78/R5XnmFoO5gWubkNOCjvByXlglIndaPI4idUqNTvfqrF+75FQ2YWW+rZvdGcdb+7jGpc2j1Hv
IEpds28MC/fZ4KJaSxyZGp0DC7CyWS1qW++RaVd51i+yvL8mvWE4xE/O6s6gFizBrxTcKchg9Pc5
Mk/B0y6csssKy29UbKU+hagweJ8ZE9eDwF8ab/CtiIcxuFtaayWsgl/NKLQHvyAQ7vU9i3kn1K8W
Pcs9qwTZZJG2ux0C/6Ji2VnhFWcBPJOV96G0UkI+tmHsND7kKeKMXHiYfPL6pFo0sDHXguO1IJai
GnDXYo1buk6PU9qHtseLL5D+0WwT9X7t20ZThv5NRaLiOxgEt/2gt2cVV1cFrdQywS1Y/aX83vkg
9bN4mRataem1kVt62+eQqYDwd+Dxi8Ant7RU1KrD9kqDkJEbx/XgEGPw3UGAwvWl0JZaXn+kWnBv
JF6+BOPDxmBSnOXmqupWYHct9MJcqZ7my1qiZVIr35VFm+a3AgfZTYKSIl6H/nDfdpCpoahyWV3k
zIplwPlK4ujSg/l9gqoMHXcVya+I9MSVnnrqtBeerYvazVpmHleyjywUoNAOdNFf0mgAWRfmabsE
t+1Lm7UOC9Pggnb5GkQ5OUa5L0pLmjwYHgMJ/7Q0/F8o5yBi8rqcs6EF00P9BmyK2SHtgPZZ2kGF
nDG2j6ACY6ilGwNFv6Qd7GiC/iIQKIU+9pCk2JB2GI0JYOjVySC+PNZSPks7BkcRcQhrE3Os1WHQ
sPFZGj+FZ3+XyoWY1SQQBMlkCJ7BocAQ44SfMYL9UtqJlA0ia4zmKmlCcPNtWeboNOmwfpoNEBWx
IzP93Ec+sVinnfMMolSRkTZWG5lOkGnIwlX0qfOrs5h3Nw3qznsPR1YRmMICCwBMuXAAD7m6bVNI
7KX0xAhNi8LascpxgXbdqVnUpt2B1AyHBJKhSoGv6wvLY6JbSkp/Uu5XdqvKzEKQcbXBXCCujLXS
Gjhki6KI23oCkQOhgm+96QWWSvTeFVWfOkgWn3SzrmGxa8SGWKxNiwHZfVtZul82tsy8L4nATkXM
3pZKOUbY/jDrGDJlZerA8SF3ZcRCuzHDryZY4xbEkE9ox8E0DyFDmJOvpq8vOSsG22vpIuBSs6hK
j4nZGE6T82PVpanT640EV6370efej7TqrlAelJYBcfgQidBO9XgZx90Jh2DiAnethIiyllvcL+59
yIc7Hc6+FrkRWTRoqOPV1dr0yHCp4n4VFoZ3VhshBL0MklqBb7paxvFHohgkTiFkYoejcZ2rDjJ6
bXyGjbL5xkUjQcJBQcECQnf2oLPQ1T2WL5KeIjuBCIrLgwCyU2IA0UgyddEj3jkxRLsXPA8Lx0u0
3q5gNltSxYGrhRDW6VHouRlS4VmI8mTJRVvdEKMZbtuhCZwcgSsUqwRd9GYK6rKN42+5bMhpyJj5
tVFp+hHy1+V1YJLwhGPZnZfCo07TJ/kpuCpQXqDpenTutVkxeurdeS2HhFhDirwfHQ81DqalVp5k
BH2Ic4HdIGiLz6iHF7/0ID/xXYuE/1PnSe2mgoC3WfW1G3Nu9ymBDEhU1FYzVDBvJPjAilxU/QBv
vXVLSGaqrPwG4Qpha2V9KYOsPfa8qlsw1HSgNyDLyoygsfSuuNQrUi3KFEE0V1ZuicUZhHh8K05C
8IDpMMYFReYMeoydHPPQYWmPFnlNg8Il4Q2jGUThQjO+yGFb+1lc+82tgEDRiQkHNFgB+FJLjWdg
dmjyZ0c87RjiCE7H+/Ax4Pr/hfnY1fZ1YT52qMy2pfhDK9zVY9UNVMHCVgc4ygDqSqD+YLz0S4rT
IwQNlUEcQ5AaurxtSHEwbyH4Oh4CCqklCrL1v1L8YcuTgIIh6MkKhyC8SYqPLR83wvljz24oHhiz
f2OofJoD5HAeuGlqaLiiaXBb0qSyE4jiWxkkjh08pAtemkvc5idGr9lNJ27TvPctVHe5kwrzU8T1
C5pXJ2kUQZ0B9yBNxdJMuOG4lJJxUeWwunwtkydVG/rCyZJI+wFhzhRmN6ZNcMa8Ju1sI0OeZSYs
OlZVFLppHdUfUFZQJ6/NmzYGw5k3/ZUwEmx1GXWKYIitsss/9b12mxvZZ5pDHB+RIbGRbE9Mrb8K
Qn4KByE7EFe4kwMYo3HWWn6EPhYRuRZcuyWNyhzIEGDLq+KLppCxXXvZz14OkRUQvPB05jtEptQ1
SHcFUYBVmUSdYzS0dvo8uIew9+BUyFO26Ljro6q1izzAixhaN3pQcqP3J22Xa3bQ+me4ZlcU1EiN
g7OhZjbCkHFoUsipYdKcQcjxS4DEN01nIMATCtJIuZWR3sYhpAFkNHyuZLtoalxcYq910yL/Cdud
nUaGH0VdNFZD0/PCT09w2t/Gqj7T8uYnkgaY+FrPbAKRZFCmTWNpkKUBFRofl0orbBpAlLfPieMR
VNuQhOFXpC96e+jL2G4qsH2DvP0f9s6suXIbS8K/CB1cQBJ8HJJ31XK1VqnqhSGpJIDgAhIAF/DX
T7I87q62u2fCz9N22GGXdKW7EMA5mV8e5jbVEnyOByLDcwTKHPSqbul9VNDJu3AcEq7vDraUXmYW
P+9YcAJMcRxHfSkb3cFIq9yNGPTQZ10cj+3BRg16gKiBHGt1bkwEJa1us1AFQS66aU+xOdehxAa4
EJy/SyG75ZXHqs7wM+F5YDNUy5zNYoozEZJXT3OZ68mGmV+HuW/SD1fX7Aau5bRjnhn3wSji62YO
j73s9KMwJb0NbKuu/IBPHOiILEBPHMW0YJeMG7prpqRgbesfOlLZfYPr/3as2CEh9EQG88WLoqM3
Bl/myfo5F8YrrAn827AP5HXfoS3jaYyjJGrXrJwkybpl03ApKQ/O973bfgmD+ypQybGqp0NK+6Ob
+bmtDVS4IXhlYRwVdeeqC5CjOU8junes3Y8W8JQPiyGP5u7NGbUPpupFcWi5qYVXIfB5ysYBIaMx
NI//yxL+Z8sP95P2KHabCG4lOEDcP/wPUEofLlPdkNS/NC38/x/oA+f29Mu++T/l5a8swr/4FcBt
MEjcwx4Jc/YPrbPr+WJkFdNLbd7G+s71T116/fNX/H8/o7a7XP3yXv8LYQXAzY8/9Rq/PeyXXoOC
A8EEBdx2hYYJPp6/n1I4wBIwJ9ADoLj4Ab70u7KCm/SA4QR/hmaEgnHBl/5xSiG8F2LEIaZK41bV
QfBXTinoqH86pUDCgExF4gQ58HQ7D3/tNdjCh3RkYrzIyvZn1qT0RnfLFesaYFCj/hKjYB6krY+d
Spr1QygzkPvROZhna5XDt2nuU9F3ma3dveX0rEyr9kMDjcFfHYCL2ieHqpmAdPViz+tJnODqeTnv
S5pBd+UiT6eh27dJ34yPjvffUgEFgMQJjBhYKzLvA0PP00LWcwQqE92Q24qssakLt5VdFvUXT1GI
VVtJ5nyF4syv01OzFWz9VroFWxHHfivnHvuf9R3bSr1+K/omTbwi2QpBtZWEzVYcBnEKHRb1Yv2z
cOR+Hm2lZISakm3F5bSVmVOzLhnZSk+zFaF6Nrf+VpZa1KcadapDvSogBgWoXz3Kr+atoLVbaVtB
Y4Zew/J5NNAOtgKYlwSyg7b8s5xV/N2tcir3QzSIDGYzTmhh/GOqxwdRh49Met146mNB7H3ld8MR
dnHeDSI+DpEz3WNsvVRnYiyTKQuTkh5Cf55kBtzwsy7H+bSlkA9jV9fF2nZ3TprbmPbnrhG3gxdc
MUv2ysxn0saFWqHhbk2eXPOo6n/MXfBQ2fTbfzaPn8z5ttP++wIX9qj9+HOBuz3ol60DjOQ26nLT
HYIYh8MvWwdoG2wA+BsA5XYL5N8ZN4THMB0Vlec/FIzft45tBBe0hRRqboiboaf0r2wdEEv+tHVs
CgWIOWSYcNu47fn9unVM/WLgU4vwYhbq5esynWZHUdvKMISuNexVGIyZtu5rEmBpGU7fdciuberq
ItqsKLng6rRaXNlZeVnndTdEejpjaz8Wi5luFx2bgqZa5UqNby7tvomK7+CPPtRUHjpnz0EYPAx9
LyEmOugN2CqwboPrroXTy0nybOpU5U3aWphE5TO0k68RHPAMVuKSx0t7iXh48ed4lw7qnDTDqY7W
8LROgEPHOmD5JJYDaDnw0v0ntq+HcebRuePlARjnG6scFI71y4INL6sDlN0h3OYspm1XhH2Zewtk
5aQXX2Z//F4vE81FLY7BqLqshxyQtQLYgp1sl1d9eFu3w7mpaZjNWn8Ok0A1TpTN14Zdqlb3+cyH
i4ym/ry0Fs5OVXL0qyjdaqF5nnq8vDWx8gqQBGucDXT9ZMFU3040eV8rvLl92Yr7AL5RJoz+ENgi
bqRqTlFK4NsEvTuIzrCLQYGzS5IZn9ooaKa55XndoiaUvBPZJP34ANmEZ7GG7UaXhN97PPQPay95
NvCqydou5BkoEZVVbch3nmvkMQyXBppEFRyk2PivFTRTvMBt9JSCaVn6hb846LLUVChR+3JP57DZ
6dYCZVdhu+tCeY1t7mq18lJ3/sk6vhZVyz7LVcaZTFq6I6ZCOzI6ufPLxB3Qqzc7TwqGN8J32FeH
9GAlWn+56PGQBvD8Wq4BdMEtf4B2yw5jH4kdYH959LyyLKapCQFFh+S+wSjprF3xSoclRgEYe/Ge
cWJz6WaWOcX7HYEHD1Otrs6RMfOBB+LJBeZuHL1uJwhzmbL9m2ogolUiBvcxpPTcp9C0OcrOzK3b
W1QF3ffZRPK5A3CQGZF2RzcC0gwWrrKm7PxLBDUqE/1aoghN8B5rMh7ZDIVZzHQGFjFWP5A6SLBX
J+Vu4i05elbux6jZlWWXglYCbdSmnc6AqLQZoxISjpxZofu2yeNJxverv9zLZXyI57bemUD6Vd4E
zS2QJXuEq/1pu/XN+pPY294fsyZt9E0FhzIPl7ho9BCfYjeX1zFJpgMrO/oQkPFLlSpLCs+OS3kQ
weL7WTX27zOeVbKSGh6/bDLDxHAglXvyyezvF2hmuTel564NYtDrzs/SacRpbhwSI+sKQofvqq4j
Z0K9YxWGz5ORNkcd8dQO8pzI7m5OTE5IcmOi72USXI0qnl5c3XzMsb1eKEHjAFG/YPM4X4/AU45p
ahEf0eideO1dB/htohdX00Q/B9Acub82N97s+dmUJl9WBhivkiuDB9L+MAkIPQA8JyXdPUSAa0h/
oMc2WbBrmTrUlQ9iYRLQDJ1asgnqGgDb9tQZeEuJCaO9c/gI/aG9jIQ/Nkv53VPjt55ie2BePxVJ
ra+q2X9d6jjemToE/GUU3/ujD2kqBMFI9W6SBkLw6rdZY6Ybw+avI2Z9FOiq7tIlYZlqk+4E8Rrf
aT2ZjXUz5b1VV6P0jjB+u3xCfEV6arig43GZBNyTkSUt7KI/TBmjo5yqAuxV/A3lQxvtVLfcdIF9
VzQ5dWP0Ar83OlWtn0m9voFSA4ulliNedLMX6H/h7a9FEye3QmKXSRXJAj3ndQpFdVL+kQwx+rSh
kEEFoq+a75GBum4CE+Zl1bxZlh6TLrz1eX8gdDhwMFj4TPOl8fH/0atgVZWbavw0VXIHqNPuJuVO
tqUCAZYmJ7S+BzdDcBaMeRO6K2Gb+zYlhV+JpwYgsIi7YzI2XTG21VNT2RzQgs660iRZi0RTCS4Q
nSGa3QVcdpCjjP8ox85lOMeIOxgWGHZXtXWT87h78Cqtd/+pjX7WRlvB8u9rowtm2fF/URxtj/q9
OMLMQTg4yL8D1qeYH4u+5vfiCEk9GM4RSOAY1/U/xfHCv6UUsRMWhRiCwjD+6B99VYiZZnGMf/Bj
Nz3xr/VV4R9DTEmIv7DmwY4DSPb/CCMPMXb3OfHKGw2bcReuTZ3Cl0zLKwI89qpLzFRnxHPjdyrF
GS3BN8b9Ne8T+R5OkV+QOZqTYyyadtoNoSdPXo9g0SIryfMgFuoL1xMsEuRSsQV1wkEWQ5MPKb0P
9SttyurDjl6p90EXiSIyk4K2BACtXORejJUcdrYxQZo3mk77Qcs0PruEpFlau8yUY5pmddVj7UuE
oAAx6U/C+AKlD3Z6VJUTZLz0B1aHy2LkojISynTfwDHOgCe6DCXJuRn9S7+qKxN5N+s63/vhei2m
9FiG5Jqi8vC5OC0VAk1RrJsNsonAQk5IFxgqrnsaH7ye3MlpkA99ya5sL2Qec9blPDX+dWeUzgMy
1zsXS5npnsgiGcbLYs2F1AvLZk69zFF/tyqFNoyDZs6a2ELLqUKnP+vQPlaN94g5pm2UT43t7shQ
rzchrfft0O85uqsXVU15Ap6tBKJ5M9EGh64Sn9jxZR70Cd8FimXw8ovUhe0jiaN537PBIj60BoXW
7aEb8HL7JgayZhdkKZK4CHwAZxOfy2PV4wAOI7O3KPNw5G4E7Zwbz+GATkdUiAHCCxVI8DXcTzGY
Yjf29NnAGUtEDbzGNWzvNbzKmr5FkGnV2donPWJNYyfBjKcV6umAm9w4LQ+/LMX/W0/aVAnGMLEA
ggbGT7D4D9EM6YnZq1MjbwNP9PsQeOOrcHifZlejSPzP/vdbb4he6t/vf//Vvv5Q+l80h3jU7/vf
dndA3MMmiHD3sYBFm3L4+/4HexsYD8U290dZif0NdyHzMKf5N5v61/wT7jHpYxggshu/9Y3JX+oN
fwZ0fs1iwPzA3oPgydalIsj5h95Q9dFaR640F68Jn6C6PwYmumqpua8XtGvzRMWZeyhLfXqUzsmi
retyX05YBHYZy8wb+iFLHCpbYLUPHkXhJ/rEz2Zq48ys/r31BoRnUvysLlFi18jeP6VcB7C5m0ed
YBWsHRaor5YbMngKnYlEE7VOJCdLVBaJTST06ICgP52HW69rn2AuRDfJtHbXMghspuJggC4DWCRo
kgM1kITYBNk+FijEV909iY5BLyLIAHvanIY+QqzTclRpYG8T2n4gofEFdDvJmiA6qpA8krWGIzIY
7IdA+daIvyG9JrMhGmF1Y5uCkyP9a5+HPybxqkMYBPyoFBq9eRqRVllHiXekbmD0LHURrKbf9U6+
ziuU8cXqH6Odz77t5yz18IL0VJ6MZncO2eLMdTuyXo/WPy+UfY9kfFKepFnqUCemSXStuUYZsywZ
nRhyaot/QSS4ybg37nzm4SMJE5NZzs0p0dhYsSE+BHym9ykR70vQ3ZuOAVltwiavfPg0waCCzCST
vw9jQFl9qeyuqeF2lPXsZ9pj10ElTm5EzjPSopCse1hqA3hmHX0cdgjZMAOBMU6RfoAZMuz4YKdH
bj0UhX76lRMlM/jeh8GTZ1MnTzRdX33Cu0Pr6swC4JGTSAsViDrDaSiyHl7A7E1BHtvhHPp4Lase
DmnYyrwu/c6766ntHlk54BdrA7BJXVaq3ysFcy6YyB0u8NdUVQqGEe/OovZf9DDdaPTaBUEnVVRz
+LHM48eUOLc3dumzwbDyCJD+rcUShdwQiLyGCrmv5vExwr581TLvPEn5rV/Tq3XAwR8pcVAzuR4c
jnLjMW9vOZLOqi7nDBzErZUrls/0JHj5NoiEHbsQ0QVJ2sdyDQXOmPHrECanerD8yCJ1hsrXAOiK
YTOa7hTz6FkLT5whN8RZLddH/Mz5egBjApJZqZ1F9DX/Sa1PGvEDP90+vCV0uReXceGX9KtRUufT
CnTDmK47m2Bc8oWgoRGuGtB6wN5cF6NeuFfyYyeEvpNwZ7M5HIqlc/6eje0XJKFlxq0AKCzR5gaq
wgfUd7uykSOg5brCarfByVRKZErGotDBePJW5p0GJk6JXzaHGM8lG+LQZdgWbcYAu6L/WzM1ICRv
h6MkcSHVahEqsdCOG+JjpVGbA2pfUBGIBIl7xJ+pj1gC/gNNxJ0E2oLa49lf5FWkx7MKEdym+nFK
MCRgNe1BkLLOurZcs672b6dlfK7gjGaNE3ctHe9rPn9h9XJj2vUFHhjIMYQqs1bJLwgeneniHZ0x
TxYnaTaMnZdB9wiztFmuazPsEk+rfeuYQVu03JQaFmXnmt0y+7sk6M/BiGLAmfGTRuX3ivsXpLtu
EUa7AwYD2nAyb2UZAXyo15dGQFOgA2M7kPffTZtA2XGAb2zQPylBrxbSq93U4KpB+tDVX8JRRseK
xl14SFkU7IRCbiaqVPGfI/znER79r0f402/Dkv58hm8P+/sZvsFmsQc2AN5cCo/olzM8xBC3MAoj
P/rp/vyu7vp/g1OY4lwFrQt+bbtx7D/UXfy5h/gy4kPM2/i0vwChYajJH9VdChkZd+EJEEdieCpb
g/NLzg9prSUeBtPedX5P6Q0WfLmVoZXXRogjzkGaLcs0MfCm/fswtd9XtYrDQrpHOLICzsObm2Yk
jkZ+1NB6BzDKmWXI8Yw0ufUsWFkiR2xR/UKzUqVTEXEn9kEfw7/p+S3BmsunSUBpK9XFOPuDxHWf
Ren8g/YEXL8y+ZhCjFGsulro2qBuljekH+60p6JCiXC9RRxpKmyJryVO/4Ccih181G8TzOe1rd3B
C9gbWfy9mK0PlI4fk8Tedms9QM4TZRYN87eZkefGuiaXtf8YRvaFY6lgvRB2AF4YXzj22R24aZuN
Ua0RGuKvSbKqg4lABbBU30P3vCg6wPJfg0eE0xHzGKv7JfDOrRd9UNseQj2/Glpd0QCTWzQh+cKC
K+Sp8N3psfX0yxhWJ7WMcdHV/EWZ+CWVb+GsCo+G7yZN33VgLnqtvkZqea8pawvkgNcC8MkdwZPN
dDQfW1GRTCKBhxjHyPeurh4hmd6OPbldw6HMQSEEmCYB1TMaWIsyBAGLyIdhNXv0jkRzc4XkA1o/
AriCL/6VFDE/SDLG+4E3gBBGb8fMgvAmOQfzoLM0sWem4Dp5aXvpHU1zVw/spPsuODg7H9gkVaGr
UeQ9OplDnQhdSA+tbjyVyy4acWj6Db6auOCosb2WLNk31XgXeyNgvQ6REJIOB027HKkkUMB1fQoi
XqMOmjkQ4hXFg6dPLcE8Gh0AEMBCK/NZTVdI89wKfBRbxfQmiX4AGHiHsN+JywSWQCAPVKrn1tJj
6i9dVq/xs5VD5rX8i1EA/byA5PUaqCwaY4rMZipwsK0vnRz6gmO/LpP+KxlHUzRmfiap7XM8FNNc
GjLswql+dCRwO5DzwFN89dka0uaV6m+oSy81Bf5j3YLZIgrK5DLNu4Ut6pLMgMyJ1AznWhXkZZ0e
Z4tjuA718mpLUGee6csi1AasYy2/jnWRNNVzaP0GV2CV7LDWCkqnMUcc1B46YzE0Zdb9cfEDxDKV
d7WF7mhH1gI5r7BYCbl3kxQ71w1rkQTtbdUFOITIEqN7DjE3g69bBuS1hpCxXWuPNDwT91l7IOwJ
1w8qMbvQLbJA+BdTZtQXBCg/PYjrEHDpp169b6lJr725ue2de0RKKckiQwSQeYEjuh0exGheG7q2
WeVOTK1nOqYNUsQLEEik/pGNoblm7jMw+juEvatZ2fumJzd2kqiwOlusOIzDdFpy34PIEnXIesux
9tCtCxCm1n6C24dausxB0SzJawUQHf4W6loFTTpQGMKwzCw+WxgKmcGgg7yR9AW77gC1A/Xh1MTv
1mcUo42CqsCGfAUGEEaRGce9WKezLcMpDzR/iMXyKquIowDFvBA7INLTc7Athg7HGP7qICro2WJ5
tNGARJnsds0i5mKoq2DXdZHGolNYEiy+aXQld2opb1UTdjkdyyVPIBiXJb2oPn1MS3oMF8fyuMPx
Prrmoez7W6Skhz23rHmBOQ1Cf56uCVrKfGy2hR3Jr4BGbBZPM+Km6UxzOBdvS6fibKTVfpq7Mzb0
B0fVdBy8FnGEYLzv6RRkFSiVCYGQA1j3TZAOUcbH6qlkqI3LmOb10FwbMd0Dde2yADNsyio0iAJr
f9fxBo+dpscoluy4duMbysrNuNPwOjpUybEcSM5X8olMCc4LoSugq+Qe6cq3OMTaHpoEcHHLSN4s
kJu6cu1uPTgqmVbDi8/aMse4AfhQbgHSHMCHEgw8l8KeDXjA28vKA3hk1duYVl9VjwtpLru9sxxD
hvCRo25vdT6HIdqIxeN7OKl4TxHaPYXhfEw5RRhZ0BqLBgNrRozsEK6+n3Em5lYyeF4RmhgMe+Q5
gFxcbpgRVIxIQ4M8m6rrnqxzAePyxpFQIZSSzDn35jkjdfwcWXdAhPRHpLZytP9YfPw4Q+VLHNsK
liDQ6njsrkERDbdJtN7g/Ed8Ht4FRpWdbNNrJEqCDaH11AtYuuZk1uE5DLDwmy78Shy92Mr+mIdm
n5byGYe9d1XFpstw/qPa5pekGp7StT6GxGAiFogtROgBUjgKuhaRlGTL6KmJAg7T0VQESfJeAcAr
Wq2Qdlb9uneKPfhlO+yiSFAEc5du1/fIgSEzUp487V5jgovBiinYgyF7WrqkzlhJzhXnr1omBa8x
CGmR/UENCo9P+jtVT2h/4GzuiB+99xhqBFarQlQSJpcc4jtvjL8o6IRl3yzHlYef0psT7LHwpoIA
UWe2dJiQkIDVtZgpgKLb4fKTvt0GAaTopv1vMSzmlNbVDuO52gyGmikwjYwXErpDHhP56iH9Ulcz
UuFVKfNh6q+qqcFbbfUBeRbkQUMErEevPkpuF8zTAFvn2QD4ZFB2OdqlZgdv/4fgZAFZz/V+8sFz
q3aawF+7HBnUbVeNv7ZQfjPOyyhvB/Ik9Pys01RlXZXmGHAGj8qHmT0ym3OjhiKg4hGs94CmyZ5G
Ppq89dJn2o13vJnTPDR24xjhdwwx1lM42f3CEUAK6u5EUDlhQUovnwPzBq7xbglwnuPdwhEij0OM
Vn8dqo+5n3LSx5+xR55IiPkHSZtMsGxqqJ8tcqVN8D45fYXxLHPmkujdTMlhYBgN1nH/XHZhV6Qr
7O4lrr/ytjX5sOggZ4gUoF3do3/1GL9GYUBhQ8IF8kd57iPt5z2SA7dBpU7loPE1Vn/jJIJrOcsn
XzNooiN5SIDGZgEmRtB0/rqg5spisfaZ7VW3Gyz8MUyd4FlbD3g5dECOctZ0pxS9YoO6YwxkUZ0g
zoV194m7CCMsNiNxyutw703jSz9h6Qrt3ze80zmuhZswruyuiyQ8rbp/jCt8RhjBAHZWLNindXez
UN3tdUzPPrPvsnUm9yv7dVgE9qDRe16b6ry45imgpC1mgy018d6mCYgtQz44S20yF8DJr3uj950H
4dpzGDyV9hCsbCw/UtTGoDGhYCzdx9pqZGYhbHG9noIAw+6kLCBjPfdTX+cGVR4S5agzB1yZIp2T
g2oqPMkxOXiL/owFSrpELd/CFjUf2u+8auTLCGuwhOEt6u61ZPWbtCNAx+HcVtYveLtAketwUobD
0Q3JwyL83RJtibpBPS4G6jZNTylGY0CIucPIo9xVcARcKHaibHaVnq41Yt5jhRxdBPnlbKTv8oEn
QX3fdGv84lQVs9uBRBP+ILLwOx2L8zHqyX8Y+t8inNuQs38vI9+oH+r9zx3o9qDfO1DMJ03R3aVw
vSL0E9u9+X5RkcHWByFEZqCxwWZw/aMJBVFKoQxug7d+Io3/04PiXhNw1X7efyD1fqrPf6UHpX9u
QTF1D96M72PSJCAnsFG/tqCDGjBQQGBW0wCtgh2HesaEqii5+NAPMamNk5Ksu7pXM0zbETmitIAP
TMvCYYQAsjFe69vHOfZ5+jkzc9SkC8vXvm6lB7Cga8gVXrTBxD440/4ORQfhdxRj8jBcZKACe6A/
BsuI+SARlnHeYFpBJXAUJpsL73Aw55h0kYLv0G5MVrjf1SCOYGewzhrE4bNwwbCp44CEIqZwtDhs
42Fu9IXTZhyQVHE4rTjOa8hxLC681Y7kI4ID/5tb8/8dzY284H+VX24+Olz7uBvev7j8/1mAYRjX
gBtZQYf5bTrr3y9/ChMFWCzGugLFDTZ/+ffLH84LOGp4u7+tixCyze8aDAwW3AxtE182nPcv6C/w
0/5Jf9nQ8Gjj6hATgU6KOyJjaf568SeN5awNOLn4pMGlVvk5bJCPcob9UEewFcfQ20e+3GvH2+bg
Vb1+SHVL7oNkIqCwEtUlD5ynLctSjA0pUEboryWrEveOlgZ1vyhbVEqOHuQAYcQEbEULg4rZYJLt
AdDf5vvODIOdKowA6Um6137w0vW1986Hps2HYOn3SiRNMYN0zCaO1IBV+N4wGSiOy0B/B5jnZ8g1
s2IVU3Seu+QsJaJuc6hPkQAwZ0ZyGIPxrYUegmYaUj1CCAEMEwQMiLvBjNw0a5NoJ1I63bLO20Z+
SL7D1hMetHMCxkYP1LBeYNcw+LMurXeMB2sWlLrfreFcwHo1dxgeFWbABZtvE4vco+9/rQCbZYbU
t9XARQGW8l6uaItRMd84TyIqMleXuerfTTXvY4a+HCOMIDZP0bxL2LIecG5X5y4hURaF1XKqnfF2
JhrQN2CC05yxxYPU2rMA+cieXFCIuCyCyiwBtKGYpOeBYjpvPanlfmUyQU8OUGWZPDRzQhzTmvC8
JIh3QH9Yqz0h8O0xfKlr4MdLjOnUJcqLNUiQBlpg6BSGJURnErpGkqVI5D1G+LUH2Au9t8OF3Z0w
42U6tEZV5zIm7KaiM4AWm5Y3dYwHdzf+MJb3/ii+YSZWlIkufuUIrGezaYKdT9NvNQbR7Erbf6Jq
a3NL+HVTClBk0l0ar1YoldpPsUbFgJD5xbXU5W1CMYlMszpPoVplZIpPehqScxAh4DJJ94g9Fx9T
2x6owL9SzXJ/iUYEyn8qi6DEZjwB+1Nz1NMc0BsMMyNnFya5r8ImvIsiA9hSI2zumQyx+TzARKCi
l429Bu7noe/S4QV+XbzX4KivYqpUQZQ6KL2pAWwdD6Fovm+JFOshXQN1w5znpQ0zYAz+PqIlu60h
W5I2/REQcx3L9l6N43NJwhvTJ+BaA9LfOmBrJxBDqMnUetx0sqxFCufJkyVG7bAPS5arqkmuKppc
O6HSXYLhc8PidrFaMX+JXZjrrqMW2ulEriK/um4F43k1RuVNx3pTANrDuB/BHzELh58G0Zy0nI71
gA+JYbJbP2/MFIC/LKjZKx+RobdxdVkmjDtcOkDgxE4t5jcOuR83p9RGO6b1a6vBR6jazxX7xDgO
bC3tHkNH9j0m13jAy/Y8QJQLqRjRy1My0at0XvLZBxombAThYGmeWeNdAjo+x5OH8w+MbXwpkYQ7
Y67tZz/4D9E6npKRFSGmVMUYDJd7YrmKCObqTdOriMMDANKd4RxzuSJ2Z+rugangR4oZZFnbhB8g
hB8o5KYCLMYNYgZ7UtO8x2eMkX5VTtHD8XaCF+X1YCPb99W5JwzYbBFTkieAq3erWi4tq7NE8k2o
OgKUzbGR1lsZet92y63DnN1gdaeu3Bw8wPIrOaxjfUxiL0eM8xibZU8w/gQ7UfUeM7BjpD+SMc1r
KFquV5eu92CzeOrgY8IBxCV+F9imqCZ+XDxWtIpcT5PDbK3qdRghrNZLjrFOn3Dz8xJjoWnq5aVt
PnTzocrxYbHoaBlcIg+A6dy9RENSGADTPsXvQJIL8+UuyJZgdFa8p8gxR3x5oEv61EiQJmnToDWf
vUNLdZ5i3k628W4IPu5Z+t/sncly28i2RX/lxZvDgTYBDN6EJNiqIdVLE4SsBn2X6PH1b8FV5bJl
lx01r8mNG2XLEEEg8+Q5e68NDqiKwN2G65EzDzSWlXAGFwR0uMNath0m+aBqzX6ynGshygdcBldB
N57a7BVg6FulqiFdFjrjRrSORLmu/XGVBObsalgGRnhitHpedMYVVON3TWkYYDHbAvpWqupWcbut
UytrlWl8bBVnjaXdSn5T23cxbVul5yvdoVbbNa/iRe06a82o94Y/ckHGvSU3bMjrFVDeHMSE/tK3
xQP/lLkecCGPtYl6MoZubQMHGnPa53m9zB3lQGdnNym2V4wA+jqZrEOFTSIs/WqJqwSfm7A3etPd
Z23+1EByHkt7BzTVK0PTXxaN3OaOtVMH9NwQljda3D30Ur0vZHxVKNrGN4d15LfcO9cLEMXajcXT
aW8Yop7yIj2UE1pKpb1OI3vrDP6lb0y73Mz2na+dh+CDF3kbrUEnHUtf3fGCAZJ2TrF0zwxteCxF
Cu4JuyC1+q0vxamW9WVeW1ftgE7C0errdm67cc6FEAT7w0rPUguZlVOhokiDczkvVFPxMCbNQZfW
poR3hCIA0Cayon4uevKDX+a3shz3ml4cFPoIl4qPJTDA/HZd18CI4P3tpaoupr7Hppiw8cR0L8Rt
3GT2DlR4NPf1HxkbLXQzoRsNGC3SXkWGorapHuBl7KjaLllvI0+VCd7W+gDFjPcyhXs7qdpjCEt9
7RrJTSYbOEgDPntDO8aJE4NYw8ZY4NnXHXvrQ27rdSUDoVTQYJRLO+iheoz6Kkljzwrz4xCITewP
e0bLr6WCCLuOnxtpLUr2P96AGrxIZ3ttC+ojVOBKUyEkDRA9RJ+rAXV1pzivXWet60jdBABjInXw
sBiy/tTxQJt5Wg9ZfqAxeJCNdVNYiIMlzfyc4r6JkqUS9so+102e9ZT3FCupVuxSpTmflP6xluVL
60gviLED+emAeAx/Zaay/X1zmvu9EutLhYhtTECVBTlBSOf3FWKDVUCSHKpcqtk2AuNdJFcKmodf
X4Q6t/xbyPNHGWpoAgelAQuU0cT3F4E0qILx1pTLwfks+03fPg7Fe2Cssu5PsRdspZ9Dk39W8H57
pfk3+WbgWPi06CafK+nORWjOcm/0e9OuEHdx+xQVYvnrD4aF7scPxtsET8gk3OHjB9OdonX8tAiO
nfLUtIcqeMnTl19f4mefiGqZYpnLzFDa7z+RL+xBdccyPNINi/sNrjkvDfH7BpsIIYTe/Aac/5NP
xKiRQwsjYnMmDH9/uS4XtT6qTXQkFWIRGZwyg02Z/OYzzWPfD8/Ddxf5MBaucapZwuciscS+Is9i
N1z9+q797mPMf/7Nc9A1U4MIhSvI8lz05TJhtmBHv7kIQt9ffowPX02ZjEnZZXV0HBRjEVpLNzqa
ERQ4+9GKlqK+1OkG//uPpaszYMsSLlF9H5oZCWEcEQ3o6GhXp0oN0KbsbP/931/DwINCeDPPAUia
728dvXpFOJ2Mj3kdekyY7LxY9untry/ys1tHCAoOaUOjO/QR3l/0oW1H0RDz/Tzm4izkpIjgauH6
13F7MLsKWMzp11ecn6mPz9y3V/zwZWGHcWWpjfFRxbne1fcGBdSvr/ADe9lEQmnPonGSWgTv64fF
py5M3FmDlh3jM4AKOzbP82JpedYpvLKWuRetnaWy/vU1f/acf/upPlwy7Jiq0fSMj51A/YOWV3dZ
FIrtr6/y83tnckvYOUl5/fBIiEkTdpPRoPUrdwmM02GQ8OsrzHf/47djQtmgF0hbEPf89w9dWeu0
fWslPtocfUdHp9p8iswAJET8m8/yszv27ZU+LHCciBki2iI+atZb6Jws/7qafrO8/fwSaG7AL/Em
2R8etUhLOsecguSY55cWzb9h9gO34jeb6s9eIR62r1f58NUnEmHLGHCVKHlJlVkU70lzbSVgLJuj
kkAM+8139MPH0lWI4sAGcH0COTE/lAq6izAhs4v02HQbxt1YHqvp6tePwQ8P2odLzM3cb5btvAu4
oWGVHnvmWsgxV2Ns/ea2/fwSX3LpKXjos31/iXgYMiXlpHWs0xdl2ok++s0FfniU+QzoqQEyWDTe
0FZ/fwGWTpuglSk7UudlrbUM410UU5i6b1/u1X9d2Rkc+c8DCYI9nrs3+Vz/2JWdf/CvocQsbZ/j
0iAcGCr/w5P0tSurMq+wUK+7Gro5XqCvXVnD+WSp/JAq3Lmj+x2M0v5E4YqwHbTlHAiiin/TmTXm
/u43Cx5xGg6rKfk14ktjGEzb909JHjgYRDunuFSxYGxL/MDMeB1MYf2htbtx2bd6fTa0erFBiIW6
cmiPeWxifc2zz9LUi1Wt1FvUo5bnGpKzdC+MRWyG1RLTLYMEBV1K2DgKVhIxYQQasmMVuPehNSHA
Bb+2HNTpAMH5TFrm1ilcOgIKbaWxpL0bFExwnfNJjvAEGKFvEXvsgwwJU2Ja+8nhNBaY9rnQzdvA
KpmNR86JWWGyymWEpl4+64g2AOUGd13G7LUnUAHj0Dz97aZzkdv3gw9pGunbg5sW92LoDm6infV2
eqNY2XnjUK4BFb7NJWk6igYc3u8P9mRe5Xm81gLlUY+GZUCYFvJ9G2JneVbaxYPuiAsjzIADWcOm
G5DW8lA8Nymi2HyY7UV240ViChfAJlKETmg7Rr8a6bDlrYeaZCQfILuUPdKpPDC2RahHKHjai35O
+QqmXtvAdlvHokJm3sVQ58hSUvTpaPjiRW/Km6Qd172DgdIIOFmaYj2G2S4CNA3xrj6K1r4NKz/w
SnN8EBGN46i3yhUKTRpKeVSsjWisV7lubxo5nSTShrUWpvtBS9/CKQNU3Oi3gqkyYGX0VqJwLzma
6hepb28HJ7iuLsxwJ9D2E0pwECN0P9K51pHdwcKsgAg3U+w1Bsu2bJ2HUOBibqu5R15EG8inSNSy
4gUwUrGKG+RKeqUB1gERjG5ibMZthJJrQeLTZymNN9vS33DaB9ugMi9mvPLQVQGRGF3mxWNq3hlW
AkmeHZw2TQRtkTmwJXappcEsD9fSCRCGg7P3xmHQaaiJceN8IWXmVtt4faecorJ/RUbSyyUd6Bhg
VLWZaHUD8qj2plLpywolvitmdbdOZFvO7ANlmrPVZ/F+gZwN0PoNvLpVV2eeOlNCeHR5jtz7wuiM
ZTjbALB0V17kBoOX2C3TZmDCWHQxDiCDAclnpVduR2CM7hsL4kB2uSvO/K7W0ARgQEiDmPcCUYjn
xCUK99moAIBRXSuzeUGF2HwY8TOQyvVizAaHBqeDM1se5nAQejZ8lrChO6JM6NWxsWGRmC6Lgjcl
nu0ToOOOPn6KMFPVVTlbLAReizQXTw3ei7o4RaZZLiS2DAep0m4QxcXgQ1iECbV39eLVrFO8A5g6
MjMrPTupk5UyKMmqnL0fvTU7XiorWM3tSqT58fSkz2YRzmDxrsZAEhX0NSufx6DL/OdxdpnoY3Xu
z76THAPKUJrbXAsVPOjhnRIkb0nLK6PnNHLIcFjXLpjc2c/ikv8Bdjq9IYbj3Z1NL8HAc2fMPpgi
DzxzmCqC76Z56lPlZ4o+WOcaDholyqqLoQNrj9Iw9mx38lcDrW3oX8wvAomqIey7cxpzDvYQlAyp
G12HkqfZMgNtJ1NEh6bPNw7snsiYcToVfingyEASq7MOdyReIKOSLc59XqxwooXHZIGwi9k81I0N
PK0K6SasRHAL4T4hG4IxWXXKTOOQ4kFSffXGnyXuIKxoViN6N6ZpYBJUSBlfloMmHxLXqnsPbZSI
l3UbH9q2g37SAALTcW/4OSycqAbZGITmfxClP0QKBtXvP9cE18/5/5w/N28/mdTOP/i1JtA/qRSu
QtDaIL5r5rJ+rQmI7tKRCFi2S4sKpN/fNQFcVmQI8wRVME79khL216TW/qRBUGGM+2ct8a9qgu8L
UyoCAsN0psgWZFjdBhH3fUVQt31bZfAPECcfJS3yEUnbNzfl+Mdx6luK148nBpo6+PatWZPB0ftD
ZSrYo43WbttLVIFQOu8UFWbfqTa3mn/suwsiMX99vS/6jm+qnLnx9/0V59/om3peHxwZEUkBGArh
1YIhaOPiRCnAmhZBUZ96WTjYiazyQiSWv6jFWsRj5VX+4FtekzW2h1lKPA26q+8EpFQWndJcaTXe
F8MJz6wivQNplyxLqb52SvLuDsrDXHkXGm1VuzAZqwQUR5hhsBvooeNJvHa0zqJgayZiUzNcWVuW
bWDWjYqNPw5wVMBFLWzZMuydaEqA6L5WegddWXRFxXZA/VIQ94kKtvL5lggXyqBWL6AGrMwR7rbo
T/68GjPjw3enHbvQWFCa7HK1jfBMBQegiywnyq1UtGDR5U/dZBwHO9x29lR7GlzrqDE3ZkkoZoQn
JxRFv1ZKWW+Isjgv0Ihc23BXJIL8GdNUzMQmAbopnhlO1RecE0JE/kObIZu6TAPzrMEwcJFnE7CV
ukGezVr2OcE+J0R/rpigCe1oNyQ9FnP/QlGTi3ES91qKQq5CH88yPodTRi8of15TpbC83jLP2QP2
BFasuqQ8a/yeFvm4G43oqE7VMverVTSMZz3YfxrYxaqZoKcGVn+oO/WeSZZnmgUt8ny6tZDfQr4Y
maC3+TFPmk3r9BfJlOzVIrEXQ4nZKYGtSJMf5R5ed5XJburVsX1bNZicYwV5rZ6V7a5t+2aT+np9
cqJqPEtJd1sDVjik2aur9Jdm6FzVrdRIw2QCj62MkJZs76fRsc2V677LmfHwtRQwZpzIXdhZ82qH
7YQ2Oz7hUfTcNsNQMmgrVxcrE0xH01J+1Kh7RG9uetmtVQRDjXAWmaauiqK4nnLzmPmEQPYDoBgC
gbqrYQyvhM8OhR+VbJ8HVELLwbbkTakqxjKO5HsOFT3z3Y3RY7GY/HSB42dJL+FNhVGZ492gbKHy
tN0dYSpiaRiRJ2C1a35wDKPu3LTQK1rZZlAtL7XJlxn8Q10z6bc63K4NBn7lgrPPSu+VHa/taQTA
jKya0bcBvKNyjTtT1kudN2RZzTROxkPjNoGzwqaar8sowGw+Kvuknm7qskc3kTYXkSxI0lBXcYzQ
tvVjd9k6+rPbxs+x7ZCHmbIPx2SO9LWkwK77bGn5nfNHR+e/gzD4iF9seudv8uXt9cdT8PxTX3c8
TsEW+5P1d7jC1x1P+6QTsUf6GofP2Q727Y4nGAmxHXFARp4+Q3H/2vHEJ47AZNDjGyN2Vf139C/w
Yz+cgiFpMDpx4Fbqs3zw+/3BUPSeCJwkudRUFNF7t4lKdRl1mancO6wBqJCFzMZlW8XVSZuV8Hq2
m2S2HXY71Qfflc/VIFqMxrlD3kAWWtTdaIYpD+qQFuGDHzCIE02eLEYmOEsiRi7Bj8YrK4bmVeoW
XuM+uyqS8XJQ0o7Gvf4MGQZ9rkwOpTodyYBBrefLOyxpm9JCcNE6ZB6o/aso7avSKPgHjKncBoMF
ANYpWGJdAIbxe1dI3cviDDGFpgqv7Jvk1kcrrZgGhaA6NssEg7RT+Kc+izmqEiK2DQRgpkE6206U
RC4kyOaF/mjCUkdqAduaGjIFYlZ1Hlt7vCX2LfVciZXBKnzhZVX40OLcXeVWmQAcw206lSrHkzDH
ZqAYCsW/aMIthFVmwVUJfHeh28q4GFIl3YIGLz18Bdam1rT0oFZ5cIW9fbgXnQwWhQ0utR4i6zJy
4MAGWqRdwOHeV4OpH8McVUxej7gLKqxBmEzqdViQv8MBgkvrsXPvuxWhy7oxgfslz27sNJRDQ0L4
QaxJTkpoIA9OKelbZO5YB/wOeRXtTVsR+PETJFZrvU+I64QD+VmrDHPVUkzYVRyfhxzOW99Bwwyk
Nswx9pjBtFat7GTGLoigL8gkQyZvaYG3uU7OClUNVplNnkKTJEvEqex7ynmt4MYKCdy2yhSFcr4v
dfmoK8lZ3OPYrvTsxgjC3mtC58XEHagH8446EMQRNnZytOIRs43B6TK+yKwwns41S4V4mPToSueF
2sRHn4zhrs04sA4+4/dB6I6XTcHLNNB/9HHzMnVGKlRkcvYn5iG6J+uFA7DkWKMmONSaemUQ49xq
DUr68TaYwz3GJrcQjNCOwPBtLHDyXDSiz1aOahVbJcA6gUreGyL+Zsy/G6I5sJkkEnM0O48tNyEc
Dpr6yO6xUgcVV0iveom0sGiWSb1X1eYgoqFbIkfSvSjFG6Zm+pMYNKhbY3GN7J1p/ohhwM+BHVUE
RBOnAYUEKilnM/st84PXtHBSPN4p7pYRQzUdfgIqafGTmaKpsJbbeiSFTkP+xOTeXTs8+nhdg1Wu
QrJc+VbDTENBGdVDzKIZtcd6Vtx8WTb/2z9Ujhj/fGiCxowH7sf9Y/6pr/uH9slGE8CSiR8Hqhsn
hq/7h/4JJofKPIjp9xeE7F/aVsOFqsRa/o2J+Ov+QdoPATwQawmy4mjA1vIv9K2cij7uH8wjcMmB
buJXcGCVfL9/EHGO6UfgYEtA14y7SRSZ8Zmau/EvSQ5DOgYNUtG3jj+DvNrwejQDc5HAKqXX1uIP
9QXOqLRKvNZtzFVtZepW7dkgnAGPYtsVz9o4wQW3ouepqodVZoT1StaCwjIguM2Pj3FFXFbgN16Z
1Xg5HSK7nHECKueCnSTNx4fJk5CqoeBLDRGsrELRHNq8dBeaHd13mjhFRr4RKZaxYljl3bSJKhwx
jPWofePiNGFcLUSxo2tkLaIUAYOOdHLpYqUFNzc9u7E8CcHu0YK6AwigH3W1Sc9bcyrW5PTlKx15
AhGZ1bvhB89w25tlhripGd/odFqr0aq8Wem7SjN8KLp5X+YI6uC/lWxlBKPSjmZ2XrKYGwXd6Qk3
8lLrhoMx4SXU5fSG/GHd4onV3H6j2XBsS3zLRu1JKn/wf6wdJOMAAJ8FeeS29vAPXHUByvMsh402
WUi92sBHPWc3ENejG2cGqaVpuc0gqw1FfJNCWmua/MQR7xDiSCIYjHg5FviOr7SdIW3qEMl80yia
s3ZEudes7DOTa3Zm2z9TO/eMsEfsjgAQxZ4OvzzhAS39J5xVge7VRhHkJ2VqxnKTaUDZAjVRH0Dn
4p0SXfKiWwY0QY4gkd6+EEWy5lwdLHuHP47a/o2CvF7GBHEssm7YNmN4Yea+49FuH9dVE773CqaC
2BkfqaRummk4aZ32ZMiSA870GHWUy8KqDc8OzNdIH/a9GoxPaVglCzDKSF+xaTJN6haWCpPCkieU
eVtbOsoZ0bQ3Y8THgncMYCZwLv0BdyYpQDAerFUbNlhWE+F6jRjV7WS/a3FhkuvY3HUNoX5ZaeJa
JWQyCVxjYykRmbGk75aatZIEgiyVInwJkmpapu04rZ0e6k08Bhs0rI8R0uGC1wapXD5woMdWZNcT
6A8kUxoBdkOPCo7ElOPoKw+yUYmBMTTAfPGt5YcBEZ26DfoF8AaZv0TSbVF12SBVin1Oy4wtmJNr
xRYSiuS9DpvLMjOfuxoiZIrWJRnjC0dXD+XcCaAHfshJO12AOOiWMcQMGWKtiJuuRx1Lkl0T0vHT
3fQ5T5zHyS68LEWXVwePRmKU15OCI0oJnVmead3aSng9wPFR3f6hCs1oV4bubhqqgx845cEv6gcB
fJIqFkaX2IWGc6m49SlUxVtpThdZJrdJwbM5CTJGSi1vV4QFX3Ud8EbyFYM22sg4dL0E0diCt0c8
1V29C/W4vfIdRA9Rnq4BpB5EUyd/dGD+29pmJ9E/b21zP3DxJvNn+fpT+8b8039tcZr5SSMm2Jn3
jy+kjL+3OPCADooHwdDPtHH1f9MUtPgTXEuQkDE4f9nHvm5xxieHhuEcWwcvn3bbv2oKIoH4sMUJ
DJ2GBTeK5qSKE/5DW9AdLKXE2BFeKIBEV1aXNZ4zjcZOdEgkGOWN2aKpGik5REDSWYIaJr/O76s6
vh3jJPbcCYX1RS51c5VXcPxV8o7U7oQ7vRifW83UcG4GA2QoeAZpF+s0s/C6GMOKdHKfkZ+tVdNO
pecU1JumVNLw2mnYoaRFqsQiV2wEx1MwxTdZkXa3JocffZkSYHcd4qRGjhLH4bosoReQ0VtvKTXR
W1utfZdryFwXI+/rXZm5vIeGVU7j0sxpFy4ViOFLXlPnaCRdid2wih+xcdLCcnER8A6l/iWFQeAs
UieOzqca5+gStg6QAycS/tIt9F0eqNkyM+L2nKjt7MIWeXfFHhl6El+Jye6QM9hUMGO2aeU86dTz
RL02bjEh+m0Fzmgnsmwaa6l9xdZSTMupyaJtKu3pJdMJBA8DkxbcclQrS+rr1rXi0l+YRpsUO6cz
mo0l+UJqemFK99hEUtO8pPM7z4zxSOQeijd/Et6kk3YKW6tnhuBiDnf4a2Mpg42tNhPy3S5+Mty8
Prl2ba/jVGggCIEb3hDAeuEatGGOhcLdPOZK0KleQJxrtgz8oq1YXgiAv3QiPX5MoDTeDG4LzR4H
eMJBMFejdKsaOaJxxSn9eFdRgA/7zMbV8SZ6J3gjkdHecC7zQWaERUWQhU7HSwGgmynSXiVOVD+w
wJaSMHWFbYw5zn9F+Rfkzyw4+eeV60j+4c+kDfNP/bVizdIGfGMsLnPf5nvij/YJSyXdFJYtuKZz
EMPfhjNKZFjrpo2K9A/W6V9NHXI7aW1YLhOQP+Ml/kVRjvrsw4plmbZOq2fu6WApMD7qhEwizzBJ
jtqlldL32HJAhTznVMl57KdLc6JJG073EDEZNDfppkeWoEQh+b0zLqcINq7PADNKhlsJsdMzCgpc
dlLXVA+tHyxFNhDWVpPEvbVi5bEIgr0fENIWXGqxG5wXEZHTwhpdZuvTQDyZ6FkYp9fURBc3zl5v
XDmP+Dtp9RpKszb75nEqsm2vUwQbVneM+sbwKsJl+HP1MHXDOFcY56YK2QEc8F2uMDDOpPoWlfV7
P+mvjlKCHGuTEErMcJ05A2DiwXzsR+VeTuS9MOeETicAwU/uRS7G8QBR+Aqy6+yvoa8y+HBHCXni
/9TvsDdN/iKZSB1Ic534H5jGNAh8CjbC2wnHK4wXNXmwxmNIeDeQN8LgerkVrCdAjRu56g34+cgT
cCCAdDWMZlViE93J2mjcZy0yWYKigQ4aYT6kZgx5skURV8E+ZDVuzKH0AL72C9b7AX63k64JXEt2
ht6hPRC4sUkW7ZtTOFaw5adUnrrCiDdtiWCztFNu1Uz4qedhd1jBc8/yhE5WJR6KSYKVbemImNIE
J11Q6TRtaC0Ax5El7/rWRtj9eMInbGKFieko990y5OSzd9OJ/Swxo3PfUuNV77b1PkRuvxkkmNgc
J2y9qvDyUs0Z1GhJ+667hbOpAArRx4Yjpwnlcwc5jTmMy2lnxrJrFYPjqFZo2FHDgZG2EET00BNL
HlVJiDjJg/WSeL706BhB4mmMcheJMkaeq+WMZ1K49ElXWxuw42/ZoLkb4u5x/EolPUJuCvbcOUQ4
RNs9OwU2En2M1K2vomesVWWmqoKUMbSGNGPNBmKR4Sr+XI4IrosaqWBt1RDXHEUeervoD0Hfyo0b
ovnGMESIdyNSjy8P4lVtveMKIxVlDDHPmMYG9isIDHXKjE3sluFCOo75Wc0wHmDUxHY1w92DTDLb
AcLi+UGvQXTiYESKU5t+5p0L9jLW1W0/JXnjhfhqVG8wnGHtdpaM31PSxbZsUfqJAG8oEo5dH0Bj
qfJglNFSqsMNqDzOkirjNtCCybpIq7tR4cSkTj72SrcvvDokTqyrH5Wguk+LnBgmYgW9MJswiGa0
wWIVooI9xndaXnC6rqOn0cWSqIdBeDa2Dua+ktjYqT0B6XFgxuCqxqRa7dxWvIVp9wSweN0HTgiS
UHnv46YmvCx6pP25T830YWAGujFqRSw5cc+LiHvOrdi1ifte8J4qM/m2yZwb1bGOlRbuORLZi1wW
F8giX3Th3nepMqzIMgRVIJ0dVrhtMdXX9eTeMorz0Ztk4bJqZ6A6XP7Ij8aNAa9wSUoWNArcID08
XemEV4EqyaYJ/HLRQkY4WOr0PMQorPpc30Iu3Cc2m7fBhG6AfThiEedNoRlIlaIt8NrgaMrd6DPU
y/xJJE28DYwughjK2HKAZLMnEMRamKKoFybHYbe2WLPUNveEUR0hRF6LOWUgnvMGgpzkgWHOIEjm
NAJ7ziUYFVxi5cCa5Bd9cMo02Dg1r8upnV+eaU43kPNFmznxIPYjdwM9KrpKA/IQwJl3C1aYdlPP
aQmKNbib0iRBYZqzFHC5kaow5ysMc9KCD0BsFc3pC+6cwyCk9Q78eYJwM+1QYlyqRDZQwp0hos08
o1d1ZmPkOhhzwkMyZz2EtkXqw5z/YM5JELogEyIu6ZTMKRH+nBehz8kRDhzHbTinSehzrgQ8Gyqh
kBj1cU6dUCtf25CtG5ysOZMCcg36qJicCiWmpYkohwnknGKRZyliHLtv/yt1/hBt6AyOflXqPL+8
yR/7j/NPfVvqqLrJ9odsgZ4h86Ov/UdKHcckGxodn/VHku6fpQ79RyxAzKfUWeSgqTPW+K9SB2+9
Rvo3rny8LV+ief9NqeP+oOLklDf7fubxlT57Gb7vP3Zj35mNafeXDRlsQH2S+6Ibr+yi67zUDS4z
rYpfYIDnUMiMG6Mx4mVnKP61Y/fvSqiudSTEi8lQpkXgVJ6ap0yQbd6QSPqfZYC9dkhtueja/Mp0
02CjuoW/6Tv/3MnokoWl/Rms37Xopvswa+gMpg2W4hJoThFm28Qu90ZZI3ewQzRtbr4mXfWaa636
Br4RY+hwpbcjkQtOGy85jJw3CQwgQa8Pt/VrXDvnpvRPqjlchkG9LWytXHQ4O/VQVdeUfR1y026G
/xRUSvQebZ33BG/c0g8IcUUJYADc2KkmOsq+1LYaO9DabYhOTKLG8VoGFp6R+BuRpHJRGBlU99K8
AVnInMddtaSft2XNoIppxDLKaO1qBPU1OWsIcrk7y33NClYhHWJqne3trnloVaLESppxHMKiDoAZ
A3TRteHCGsa3Ti12nWavbUPB3q6Gd4EGggYE4zJ10mphSiSt0bSNdRvLvn1hm8EyKOQdh6vPiBsO
DB42SjKtaGwvq1rbtX5y0kcjXwSWuHK4Q35ks9YVct2n6YU03SsRqZ+TYUJEpqIsoMNO39PubzPd
fIwd90IvbYjIXW6uy1bDMTTYBy12blAQ5pyl1Dt6gyl7QXyYDP+2HOQF8plDIBPmKmn6Zirh09Ap
N6XRng3hcNW4Yq0K5aFV4pfURTFvWSOQujKwFxPzF0+n/QtW+FptQZ9UpnvO13TWIy8C2r/yzXet
tDz0HDkV2rRGTFsDiIquixAT84wkUwN7M8W2tZB58WTkgvN4PYtqhmez7Xm+qAXQ1DBkBVl7xtn8
1eeJdKWRrdApb7RU7FsxbgvRoNFBkqOHxo3FlC+ATb+gxXDUVJKb0TkMK2KnKFoUUN5KiI9/NJDW
qG5yFzfcpClnhmmF9MHNTL9qROm5ZYbhOZOuhzMVbiIGzwuykUhTeiSHCUmt8ZhhOC3m6WoYgLyf
GvMWfWN4Gnvp7vwkRYdk18OGAR2zshZ+XVtpsTfOlWmklO9W3DfuWa9VNKD90I9HREn0RW87q6Cm
srrBqbFCU5xe575Bn1sJjLsI+KNnau015ieqm9GkzCfw2e07Wq7QliAubIAlgg3WHGeF/zLdR4S1
eBkWXwbFxmPRWTGeRV63NOSRznto5eEgKfRxryOPXAWOO1w77M+LIgwvh3B6hVCxgELhrKKoWqsI
TNokw/c4aMQ3kw3PcT1Yp7Z9MZjmoqFUm1TnPrKQvTiorqDjrEXT7GCPzSwEcIbFEU7muuwoBSal
PsC4Ixmia/ZmmAcXKSezxBTX3F1tQ61xUcfyOFTtrQtUUhoovwO//1wL8w5E8UOm2syA8U7HKZFB
VTVNaxwXd1ZIPVRMFEuOoV30fucuck4ueONToI7Thv9KQMtsm6ga67FURMlhEX+LkbyPUOnK2L4r
qwikoflZ1vh71cy+FI27Fy05VWaF6MqoeiqlJlCWqq99Vof4ytHzM768auHGTBObxL6FotbzhhgN
uZ1O6MFXW4lJMVdIJqjek2pVNLxMI68e8vOLOtR3dQCSNQqbq7hlFdC1PeKqA/PrM2gqOIxdu1mk
PZ1lUnNdpMMZo3eb6bRJfo3nJ82bEk4EdLtVvG6gBy7Kks6c7yogldtxq+fafgr8Z2XMzsJkulVG
Q0euPr4oRFhcjwgB0MX3WxTEOXBCF0RnUL2gxWZAKtVyWWT5beSIQ1iWL9HEPAUGQwYlT26VXL8F
N5EtfQ5psHb99dii0nZ88h9Ev7Mz0J++aIlgZXcomxdX7yn4spRnrc7a3lqkaqBIbN3zoRW7Qu6h
razx8je1+6RndWOf/9f8+dL8mQuYf66IVm/p/1wQ0Y4R6A1vajPuXv/vf/8opeYf/FoUGZ/wGVIM
sUB8CQT9pigySeejtGFU60K3nF0vf/V/0L6CEbXgpELdopFMC/zPogjgluEQs4B6TRgWrt9/lVpj
fej+mI6Gt8b9YoA0TMxi35dEjQ+tMp1y/ZiT4KQm0ZkdALvsxt9pS7/Mdr+zDM72OpPt06AZiXD3
w4UURnUEmiX9ESdWsmsC1TE9oCFw5+g7FzokX6W3iWlqikt3bM+qpOQlkO2yhK6/RHbTIHXQkkMn
LXdFGKe6NEY2C9rMiBJ7+fD/7J3HkuTItW1/5f0AaHBoTAMIhI7UcgLLzMqC1hpff5dXvya7+5K8
xjlnNHaJrBBwP2eLNXV17RVOjDYpSXxxlz/U/IVwW/JbvnMoOXZJN2CjNb6jjJGnM8ZAeXNODcBs
N1WpwhfdyrPE2tMFWgahNQbcdHt/WCGwdNnMxsR4URz74hoDRkuhv8ZGTlXBbD7gnb9XipkCa/Pa
JypfOtnSYlG02bojj8signkvcBQ5OaczXZCa1L6Gsb8zlTWYjOHFddpvbCrvUbG8tTJBklHT5+dL
cmu24cmyiyTgaru33LDddTFwbb1tnyor2icOd588jk94vz7LKc6CsVBrH7WB+rJqrpmRJU4OD38g
+vVdFLSorEZ6YziUpUmfrQIWvLGy98GmraNjIzdjnqwEt+Jm2Jmuhs8JMHJPOoMfVE+o8i+hGmrm
g7LUuVf0jcNz9N3tCW8gQgzscTbdYFB2CGfCkRewukspex5+OgsxGnoFLso4oOyVIBMb9HFhL1dt
ogqXig841CIJMpHfNnmcBhSw7tbCuNCTSUuyMHbuyGsbT0x5sHdGv27c95IJkGb7e1YTi6+v3XNi
QVaIOheoTk/HxTQchJmNfqurX2pOq1M0Lc95kpi7WV9vtJlFURenIwUb7Q+Raz+0KUf3nsUeNvaB
7ZZABJ92sCXviszxZ7uyzrZO6YeVl19rWr/Gdhd7BVW4yM8cHI2d7adB39ncFzW28aDj3HbLR4ym
U4NqdDHHzUdJjUYbrI7SL6CQgC0Jdc64Ay8aos3emJrSV+0pEDRSsfpq52Oem6SFF9rApCHV0H9M
qntITBGMKwkaumbq8TmjlQqa3SRozDK5e/jDLBI/S7WDTgREAIbsZT7IaT4wUdyLTPl2KELdNAij
FZ9G+IXj4xx1PYsY+imnTByUwoTESIOw0+JJUIAZUolB3Uk3JpK0O71ZKa3Pc1RfokQNva6eMW4Q
0TC6c51m/th3+2nqX9eQJc1MId6YqhQIVBRQ8ZXVy+wWKfeUK8phzdmOsTCKuQItIELH5Ic1oZOl
U8p+ZBD3cW/tZqq4M+wVkI/oHqG6Zmq3AFwOMe7BrFf2i2WzklHfV5NKdXabHYbX99x4GCdkrGE4
1riYc1mZRc2nFpDVoWAMc/Gqbyfd2I8avmkRYxNY63Gn22kfqIKyqWg03ktDYH+rJj9UkO2Mqd4N
orxZqumtrVIIj4vx3Peqc4FIZTSPVTp6kcMotsc2L/L/6zH652U9Xxo5CRv4D8hBMoZIr+cfHfpd
1+H+Xazldlo8e2PswuP8UF0Oab9RPsoXtkIHgCmb8IQFYPDTnX74wwH3TyIJHGN/DgjIv16SxSmH
1EjMyh/vDwGBNhzMUbGG9Xa0P+rw4Ko0l87vSlX8tmP5l70g/+zv0Qguy7QGeq76l7A0vVVUY83j
ektBVjx3G6YoNzpQtPh//D1/Pv1+ezmligIciasfrR1//vc0hNPMQcTqrWWeWusGiyif35d//5r9
ElD+fPLxqv3hH/OXv2RgAu+0TL5oQfeMnW877tUfDq7yTXUp+Ixt7tstbNhA2z9dHT/fXMdLEjx3
23B7lx6nzb7123Pv8wt9irr8avv8738+Tb6Yf/35JAfcphKf7sO/JqDzgemlXFRxS+fwlRXCVr2I
F5biZN68wV82xzexm71rE0x7k8LiE+6iOxp3gmmTe79+lP/6H3AV/JuL5Nvw+fG/75Dy9/z9Dgne
ixOclgqCTSAQ/2jsE3/D0sC2Dfqg81sG+h+LNTpBCA8RUPqr6wFjH62tfJWpZ5Ii4n8EDqHs8k8f
IRmGsukjsgwKB3gyCbnC++NzIe/xDs3VrN70afUauiX6UKZTtqoMRAsdUd+ZgJX2A6fhVRqJg6qi
27LvjGMrqTpTSf9+gvX93MqiK8PBgtdN1m4EnZQ7c31pV8WrR5Vp2PniKANBUEx73RpCf2UgchmM
ErsmfplEu6FjkVS6S+HZk/E0MU4ZSVw+NlE0AKCvv5DLT9VQP7WCRjGj4EZjMZblcj6r5KSGrrSf
5ewWrVVc3qk61I/UMG4V3TqF1oRHa+KwKyYlZCPA9TTPG8xT/Yc9RF9h4UyBtpRI+0vdHJzSZYau
lHtizfmt25NoKawYS4COmBAutu2HCd35EZAwWu2RCGfQrq2r/+gS6y42m6vTc02s4+w10fTHvnK5
zaXaN9faeRuu0VM7UlLSdIfBQkUqVrGn7uOHqmal7IXcZ+58V6rppcOVXpTRKV3dR5HWgBdWCUXR
1EfAk6z+eBP6uO491vIlbkXzYxm62evs7tVBASQ2k4hNY1r+ZKi3Tm4IPw6TuwRY1EYpJmc6Lgt3
Z0o5f6rSKGeVV2dNTiOY5IOedveDxU1spgp6Qw6g82yLli4LQJpd574NtEHGlvDEla7G5tTFc5IR
b29pAZNsaleDUp0TGduMVnrAZe5eIlDWWjOqG1Sm6E5hLt6sickIzAWnWbSfeWUuFiRyycVONfea
x7Cyy7LFAp0Ro+3NIgvKnO1TBPErxr7tqeC2J8ndRoSBNrGA6JBM7k5Ux6HVrnVVk83RV4qPEoOr
mmR5C1PZpZLuPYL5tsB9g4IevJaywEaLS3+VFDKYkSS2uerBrlifbYo9RVh9FhQHDIyDR9gbd0Ii
xuNlO4AcHwhNkWm1Wk/tW9xCLMRqqzjOFDgaAMsXkd1gVmFSkVEvFai5CtzcLCgVYA1MG6dio79H
Jj+2dg5rrcMoMgwscGQaVlXvC8DpDCW7JkvvE4Dq1pC/TWr7aUrSushER8MedattNvitNbHhBcxu
Ory4pqEcUZGMnSXp7QNXbRrf7bPaiC/IXhDeQb3XujZsRlEHNRWGoK9R5pZ5PGRIjd5YqmTyp8+Y
1xo5i8mstGCHVVr9qpf1xWXBbDlVkMbgIhwt/OrVKbBbSRXJp4bAVVV5GRVDMywZb3FZV5eL+aOf
zMtEGe2mcNJzE9I0n9RF5mWa5I13706KDMV2RWTrs1C6O34+ulMNnO6TeyGsT5+ANvjROk6+K7KL
0xDZGFb1vnP196V3a/qapR91Vuajki3KoSomeu7BOYxZ82DQ2RzX2b1jlaaH35GuXUMPu0No86es
bWzu6UHdtmHD9UtX8kNRaHepCkwF54XlNcyYLJ7pxisqPsSLA5iZue8mraivQ2/NoS5T+TpHcLk1
Vd2goX857NL/e87+/70Ld5t/vbDZ5v/Pr1o4m//7sJU3zN8PWwrSZQO5ioOeCVVz2FT8QcWCwkUP
NBKJwJ3DOfyPw5ZdjcGGR0OuYqHDf/qHisW9ndSUKRzZbcJy6D9Qsaim+eth6/DnMAEAe+LOyp/7
58O2iUJMhmKEswloZ5KgvRHVWWHFRP1p194qq8TxMZS+mgYPdtdEMultlBQH2d7rlLFkb7lAE1qZ
hVQ4f5QO2H6L8dmrMTwGK8JYUCQrvetUG3u9MVRkfN0RLQWAYApJcJBIQX12YvzC9pMLbZDprQys
FYKkDYmQi3fEctk+9Mn8EsoN65jWD20VA2lSEncvVJr3DAZOPDtKMVwrymKlsVxs1DYVwWKyTa8h
I+Y8svCurF4FM5G+irew145ICd0p5mqgjlEeRMRoPWpw8UnO5qfVZsq+lzjGdjaXwK3mb6uyvsnO
pX4n4Y1dM17cWX8ttYrY0JBXG9C3H9oY38US/ciP+eWWxU1mQmPXR5vWR6tCocBPveWKv8t4iO/M
2vqAmB5EVX5XhHQrYOH8tnJACRmNlVVe71B8ftCMdT9ZWbRXXXpACzgT22xaVz9NFGs7KPMNTab6
Jom05yR0LqMe0vSgiWoTSQ5MWVPsm5a0Qo3TQbf690JQNNzoBI4Hp7tZV2M6Oery7OTp5NzO3RSd
637GeZMzerrnGDFklapISBcICVxcStVsJxuYafOuSGiEaZLUPdRSW9Ez7Qk2OtttqbtoTow/NNPf
VpVW12LjusPjYOXRFVN/fVx/qTexku1J122nVL0XNGEwzDt4S6lE2WRq8iyrUjahFIRwbKW+HuGo
qa169s2K0nBFqW4jupI3FpqSZqmPtkIMbEqBmQ4sIFGfjKHkJV4KP0znl9pMfth6cQ4R9zellK6m
tsdxogwfhpS1UkN/U7T8nTWWuREoX4trEM5CC9NUilakOAYqOVCkXNasTrCUmT8jpVGsfbZC+yKk
xuYgthVr+VOV6hvBQKwNUpGrMw7UEZEOS9Ir6HE6Yub7PO7PC2Ie/TvvPWMpyzjQMmgOEE+uKvLf
jAy4TEgJTag9RwUKYdyGjyGSIZEqSKNaZAR6zX4oQ1ikT/QtRGik+Gjd5FGekr3iwmQjR9LJfj+1
6TWqIXqHLihae7yZhHGvSyWz4BLWIm1CivIMxzlGQGAHazrVSKDR0j/LtWBUmtfRMG9ATu11JNNa
5eTNuuXVxJizSyOy9RlGUY/HHGCFBkeZu1Rgq+cx8cakfW2RamFqXTJdO8SouIOUc0cl1L1Gnw61
lHr5wKobXMb3OEM+aykL21IgXi1np/Wpvs2leBxKGVmTgnLlEiKREnNaF+kB5I83d2BCpRQtn7g8
pURFrnG8rQZujPgN1WBAw47UhbgCqQqVl4Bn0p2+WJd0cL8YRWSiwXoirHrRjSb1dCmRj6Tm/Eo+
4tp49cdIfdDQ03MprGtSYu8afGrCzPcFDTNCyvCRFOQtPm/DGj0Qbv20pWQfac4lG+NwF0WKErAn
vyeG2eIuQepfNPtTS2zMZtIGYCBvLtIYUCRUGfAkDbJk+Nn2KwWJDYYiDMWPpTQWDOSIvupYuVrS
dFB1PCOS5GWKx5vWjfeF6fxcWTVte0qUKDFWvYw+bLgtnUm4n7tD8VJEih1dVg0zXY/REunSPJlO
++hK7mcrCaDrWr1Xa+JuMY3pCGfrK3odBumx+7R6pfHWoaX3Mr/GoEV1EKMzqFEhmaN62R7zVdtS
+Jxvh968AzF6GVyF9mZJLE1BlzogTFWFPv9WUk3NKVTZmA2POsDTJFSPeZU+p8jKZLYcEh7AUV0J
SW2W58Kc7uopveXzwIswD08FWNXVpLaFxGBOgKrc0aM1sCjsH0pgrMIi0Aic1VDnpxLuZGiYtxbw
1tplRnP4H7Pkuto5zm+ywhxyFk68RPJfS1XrUYMZWJJ6X4KIbdN+pSSg47Fj4UWTHFlTEmXBysKW
pfB8XaHNKtl0KH/xZyWJFnKAdmglndaVnNpKEmsztcUbISm20cw6XnJt/7v9+CWjGf92+/FQEer5
J1cy+bt+v5JpAs+zzl7BpkzVpAnuD1cygKqq5ei2Yemc1fI//X4lox6OXypjGA4heGoQ/3glU7k8
qaQaf4tKGv/JlUw4cu36jxXar/2HLTMkqtyKUgjzl/0HBM60NQZtuQEH3t7a6VLcJ6K2X6vc0I7L
lGVvi+jtwOlH9TItJA/IEcS+MEdGQ3fqH2K1ynes4ZKThWloayt9uy2TBqRZo17zPHa5IIjwbDKv
3elzz+8facxBm+LxqlZs3hXHPc4aannXx/1e1Hr2xRey3KXlFNLvhYLe1t38XkAyP1JDsm4MeTZr
pboQH3Rqb2mXZ1drvDjXP5awsPGAENDrK2U6lRkUg7aCCDDDj8DjpN7QS1NthoRItmsRf6P7hG0M
X7vK1ft2owLWgGiZpt/1ImSjVln4OAmin3Zav8VzFG7XcPSSrD5CbXYlBBGU5+risMGpfhuJ6FXN
lmMy6G1g1CWro0bdJmqv7HorWrm6DvqRALy9pb/rJBQWIHSwuL4ax8Yuy0tjO2pauLcEnFpAjNmx
KTgbw2q8W1uy+zXYagL2eD0U09zSQ17Rw+peU4rQODd4dZRBie+TCVmsSIS46bBV+4s91Ycm7o6D
lr43tc3kmcMO0Rwr3YqoxuDcrL0XjrxhyiRaEPGZioIo9qlB85bCCmI2oXH0Gf3z61B/jFWUXube
+FYyFhU0A8OOJqDrQyhi3I0e0M3ucJbpm2yed9qYP2u/nC2Gi+LZavnN2IjbSnOe1aizvRxWbK2o
O0LneFQbvEE1f49lgc7NRyPCcWXSnV8Wp04X36ZZDQEu+4cxJlnSsTYhXg5StyjUGztyGRuq3aib
53R2LzWIgVhQAbPmEXby0GLRlQZrlNwUa9JT1IBDzMCXheRyMZfarzPlyaGNzV9n42SFxFfWIXwv
tPZTx5Pju8TxGeh3bGieGhcRb8ZCBgyYA7kvtaW4NpkJ4Zc88vBlOBQfCt1s4yCs5rM7gTjZooJm
Z2E1LSUCS14dieDr5Aba+RxB5fxN6fjvKlplXPzXI3LQfnf/7GEsf9fvD2PhAKSmWotlNMlw1WB0
/vt8TFcnuUpG4L+Xb/3+MLb/RvKcIDnvmmwql6Pz7/Ox+TfcEa6wqbn6bR39nzyMbVv768PYxYjp
WqZjC0IyHAF/no+zIhcuz0j7Ssr2GPXNWF76SVtgERZjXdN+kQxYlqYOjGJcRPNz5YK38CswAjF3
9Pht1ruHIm4WP+5KunD6YddMkY/4iBwLH9Kv8MjxqIPITOMDtybYB0THGr9czatwgYSx4HyraCop
i+wFjIXI7nq7jh/wb+/daQZ1GUq8SIc1MlFAzpQOjuWx2UJyit6Wuo9vwzBOrNs4X+xbs3RQmA2S
2DppMGgXvhkWavlo2YoehFwap22Hcawn2NXFyfPAVISZNZteMs2N2c9l1T6J0xS7ktpeptQ4ToN5
bxKGI39SPqtr/gj6la1dXH9psirUimEz9RjZ2j7lcql/xmUK60Axrtag0f45Pw887j2d6VwZFV8p
uI9FsiHTqGvhOws2rq5kAyaM+IVCRgdxPKOz0HzInOkGPBEhdiX5obn2YzEY36qRJtuu4EUxnf7O
1nlmRTRU7jGXga0ECvIOnZOhZUr2KieE30h/QZE7j00utKAq2XWXeq/QWqTtY6KG5Ti2fjElBz2G
zGkWsYwDQGrr2IpvtbTJucUt+Gy1u1AarFY9pj/U0PZ0yghPc7LJc6ExH5YR/qYyqD/UyvWdoSs8
koch7ZPdrijdjyiuOKdtHqjk6xNHAfy2ug92yDLPjTuAJcoPLGlBrs6HOgTK2+KHG8PWr9vV2hcl
KN4urH9yuJICTahKGZTia4rd2R8XUDCuCVfFHe29JfcwfLzuDByNSB/VtSdDxRAf3uYu3pGowo4R
C8C/EMQHxpsN1EfTS8lreHze/NisXodUY5sb9ceed7DvhsCEQLybTcpbLLWptjRfHYqRQp3GfBFd
f+WEeQRZlXmJ2j0XUXwfG3Hi1+qwE5GlHLhB65sxbu8XO3xUJ/VubQa+IiKpfY56LLpJspC3CG+H
cN0veagQ/lK+2kYBN2pQdLOYTAyrgO08DQXWSLPbkc6lI85Y1mNVswhdqiWoHHPy6qGE/jPSANYY
05kC1x85ZM1kcHIqHZKLldbtJlHt01INAqu1TAdQ8iD4AviGSD+w2E3B4vY3bmu8jri3Pb7qmKCX
wvLiQf9ZLDSGwRG8H9ba6webcoOG8iB75mpUEh/ts/FJo9Z6rxh8OkM5X3d58p0v2sqkYr+ak/mg
Ydw4jFWG1abVDuzsdB+J7hyPChWjBs4YtTCMYGrSmySyfEvJ7ot8vFJNo+B0sQVbj2ybFC4FNWUT
WDnLnQlHKTZfUmxNaT1yao40qqo/Q814V/X8i+TxoZl0hq6Isz5UtG+jU55pWHO9oiiei6nXoH8N
D8vSi11iFW/VYpxMpVroFCP8j9RjG7N1p6dObdMyAdRniRtO59KvNLPhW24TcDGbiwU8ZbtmrLrG
9bPVtbfGcfW9q9IhULv27TqMpe9Qr+MbLakTKp3BCsfLV7iwCFdtrrNln3sOoBT8vtWyGews5Vmr
v9eW8UBPoONNsUOx7BBOPvHelAwIIkuZqNeRctktVpbvccVWXpqM+ak2+mNY2fssK10PSzKL8qGh
wkFlfTYZE3ZLvsmiM/S9Gk7mNZkpxBm7ZsbnpcWs+pv7CUrGcXGoFBbriKG9JC3tJEEf6YufUAdE
305cX6gZOiwFF5ZypjqErr2tZmMTn3U+rXWbfllwIDekb9etWYZBZOjL3irb5lDVRpDRP+zHqFuB
47CF43m47gDEv7eOGZStsoumcFexP7mLlcSiAYrauqWbULH6wg1oq6K+wlzCO6vU6sBuxKGJ9HNq
J5QmF6mzY2kZ+RPIEa6Yy3KMh+FHBn81QLbTj1pNTIEwNijoOSoJClLVt04F7w2ZxsCkHnqjsGnZ
RLTQbcx+POgFBR6kJOiLMMdTlLvH0F1PSrLSRERCOAiz9a4tQj+K7QdHsa3z2rF2o2BPWtYgGQ3x
Y6nhtsqIfge1zlA8xEoLdaj/spqCTjxSprvZwbW3iKj3kIlmcEDxbZ9gMkQT8jMiFru6Xk/0vpzD
XPex+d6OLRlDPZV4eRbGm8Rur2S0v5yy+My7kO2w7cpLrWJyuTaPle4s29CK8NqsDaY6dXoWQ/ZR
Zcot3PSHLFIwGWMt2aatQA406u+cWo2oUGGy6walMInBH5lopT/l6lsN8WYzDsk1dAe6nUHI+1PT
gocKs1PpUDKTzmn0DIvNpw72jUGHPRJfXTsvfrZF/waBA6N7f61/WcD64isEObEVLn4st8ifh8rB
4Jhg8NIU5W5VEaqVPLmIGjN3VWWnvOUmYnCmmhiHPSHENz71vT2EZydcCiiPy5E2FBdGPOk/s3wp
lvY6lyhK1lLAsCZnwRt6bDpxMilQVGrn5zSzy7NYZ5cNoIEu/cbxGHRD1e86u952kKKpKFOe1VQ9
r9GpSFkcDTZVx5msAvyMOx6+I7nHtLUh+VIbYPYg6joLFnE3sUbLeHsK1qYpe/h55fOchBo7Ss34
1lWqPvF+PiRpxC/mAT4W4py0udgQ+GI5ztdux83tnRvYAZx40HDT2ei9BZCMKPxQJzdW42xCQM9C
5w+v5wqySHrKkBB2etF/GaSPIxuhuqZ2mOgh1cvls9A58Nwy2pmxKOAJ63gMkqd2ovSQTEriKXVz
WyfueWGNSk1Ccz8oZGbt1BRYIYvdUM0sCbV0awniEax6aCouigjuF1+dcpXVCi374bGR1aAlvUDc
OzdOnmxhy8rbQ3uw9fg4LenPWJhJEE0Ocm26q9Zdh6lAc8BWlr6Yz46SPRJ5xOdqGIWnOuaOGkbK
BGwuMvr6qeMdsKbo07GSs6FBj4LUFfNmNR9VpRE+1qbU5CAe2xNfn8dI1uexTHtmy0A9mVSZ262z
16N8r1X5AZSXHzp6fVf+KuRTy8SiKxqMl/ISj1Wl0lBWdu0Ro+ME/zCZRmck/Tkqy93Cu1OqZqL4
RohlLlrBXvqOmx2riZXsnCl825R2t7oR29VKCRSGer/MlClIjMo3ChTkcMQD4mChLx2CxuMSiW2u
pU96Wz5MhjUHWNh+Nmn7YiS2iTNe8C9N+gAX/yG2jY+6nG/nhDxkbBPRiJO+8Lh3dV6WGQ0bR+k7
YEvNcUKFHc1oOEU40nj/5HvH3RyJehO58bnB4LHJqZ+de/s69smNO9hn4VgkF+CGCXfxO9c4i3Xh
dlPVn5wtC31MjN+l89QlCaaIQf1mT1GSpaEzY6EG0xiHW+r5yWHH1O8wSmy410y+FZY/2qlgAxIr
nklVUNB01tlo8nstG6H50aRvFhV+lSJkkMUbupgcdmbX7YeRb3Sq8Rcy6HqZASyvE3hVu5WSjjrd
1Rq3XSTq96yBgRjfZDU0ULKh06wfTCLiWGvGq9KV+Cfq/qYw0x/1gtMhArk9Lcm1itSr6S5BXo5X
A54guomCNt+2SnQkYfWSTdGhj5O33u6farfCG0l+2Gl3s2U/YAWl660Am6i9J+TBXNLXgV5Eh3Wx
10M65O/8gE+x3LPa3AW3MTmVE0+FdwNh+6VYR8LRTXqa4wz0wZhW3lKsl2lc6IO3BNR1FbNmdgeS
+SOrHRgHINDJSLzlcAMTPX4pJgSp/25Xf21XTXpu/vVA/zjQG1eU3/9b8pa/7+8jvfs3JlPUZEsT
1LLJ6pw/jPQWvkByCJr0nUpd+/eR3vmbQbGoowqi1PwSDaH695HexpT2507S/0Dy/o1Y9I/9KnIx
GBsVD5uQrCb915L3j/4yQZ69wGVa3CAZHNkTb4wR3XHOMNtgsQlG00J1CfOLUedZQKHGXmUoSPhS
xINyKPOUPJd2VwrGJF0ciQp8ZAPCWye/7v1lXsU5co39GlP/lXFb9mI7eqNt+m4Mw2xrFcUH+wt0
NvnICfOh9lbU2FOx5Dh8shjjStGX4ApimuMr51zqxS1BB66ppBQ2q614rZt9cnMJ9FBg8qpukM5S
LtLp6yQgKFeldeOY+EW0gRrlTMAhHqzqB7ozJ+8cE+riYknLKpZsc3HOfW8f9JCKy2X+Xoz1gk74
mYfd47SMACGInVbWcLJM6cQZrRuzso95nzOZxeaTDlaYYp/3KbaCbqQdomV9uplc5xaXOiV51Q3l
v1ds10GtiNAbzCnxUhu3lmiVF1d2XVZr7atmeo5bLnVrvZyoDegPVA8zlXMfDGLLBaCbuu8zZ7M5
DmeDmtVr3dxxMQiKjEWJLW5s0w0Gfb5fBAdKSie33ooPXcRekiuvoxG+YKEIrAH/kjtObJbz4jNZ
hid2nOxkYbYSskqvy8hL12TDnTqHM2sOq3hujIO1dI4clTm59cZm1lKdIJyI7UO1gBs6jGB1oUmS
aQNv2uV+35TPAz9GyH7ayxKFNOrE1JNw1LUOuFx1OTUj70OaYp9IVWbPanHw7Sz6feJUp2kKfxgN
DIrEsh6NyrpXNJvQX2+dXfKujFJ27MU1F9Skje8VMzyYaW/Qg84GYG7SRycsvxw1AfVc3BVx9gNv
+nPkqtzdNAbgiH/Uvg4FOwkl5FJUzZFHk0ugGzI+aIfkO5KMoufBX91ib67ZTjUgBWsk7ssB4LDW
Dd+OCbbEsOQYadevFeUdrqjzc2zyajc5HXS/qjrLmbym3hElIN8iNrjwmUeEW1/WpX1q1owNw+B4
hpqySkgUQV8AUUiAqsMmb6uTShH3WeCrw5nwmlj22TTM+3KsEs9OXDYnYl3ZmqQATKkqCdwFMHel
a+912Tw4I2+8yXJtMderOoREURXh66N579bO/TCFLIJKhpUwPNgZhYYmH/oN5SzBvFJT2lLuwZIo
Q1SfuNClTTt6yrp8RORAPOqzCcbwim56snA9qyo1s7ZiYRISecF1wFIhMmrFlvAIQVXyzvRBRusH
jq+PfrQeWRY8ZrkgRuHcYixjyRGthjdprJX0RHleHKWkKNzeyoRgvIzWkSwneFfBXI5Hnk2Usnzw
vi5HozO3Vc2mmz4w3dcU41ubu0uuKpdZ7TFwwoPeItB8INnuWf6ZXmVRoazaNG8tk21vlrYiJt5M
D8ynFRYcJvsQxULuyfl5RmTqaeATyP//U8tZHCxmHkL+oTrEyZX7hltMV/CRMKwiOVa2/VS3zbXL
qeTDGPxd16z9ubtBQLU2+CgMAh/cRy0Y8yj+7TkU6AolvHHqtohKlfyjs5JPEwagN6PIq6BSeAZH
icNkPrZcuJZoH3LHo3Rw+WgsWvpdHo1GlgSNPigeEs1l7eObTqZLwTqgrCT6w5QWE4ii6rbp1B06
2mO98qysxIOI4MdUq4OkVNkfsKOPtRUfNf5xiLtcykx1eFKg3XlhmshOHLg3rcmHOuvCt9Fa39q+
uWfpAfwG4Bpg+oGOZ9ZtRj881LB/aMXg/dWVynd0yocn5gpZt/JJ1ySPChKasXvDg24XNYCmNaN7
XMLpOdP6l7ZxdD/PhhfDpTtUUIrtq6oWn9YuHf3EAS25xDKrHDXLJhc6bT7pQ2npu7UeKj/MxNuU
0euGshyY5L+hdWfaRq/pA22159G6m7rjGr5OycmI9Tu2CGSp4KEqxVOiF7w1Zb+zyopMOmJJnYtu
r6bWt+BBT7rIvR0T/FCNoYSwyRfcWNaabHM7GfBXG+y4p3NX5/cjuS57znn8JjR9LOKBTcsprsCz
Uxv/YkuqkNr0x6a/jhY+AxMYQmRHtyATEj+v3GSnEUX3zDZ5oXB1l+dtei4VHv+r0l7cxVaCkcRq
oPdzyrJPx0xb46lhb72d6uhoyhx/R86Zxv4qchsSu7q2N+bqm/1zfJnKnl0yZUSm/ZJivdy1fYJ1
qW9WXAEx41zMfZLKGVapkQMkKmFO5/l1DPvVvRF6C6JrVVbG3t44jHZ8zdvYcT4GY1l2q4QYxTXd
DRweaeACpSogHWm1eeBpdLQgIGWOQaVQT7BWIWj1jK2cJ4REJrFo28cwlAyjw1wXq9/6on6HS/TJ
kUNVVTyz6lL8Ag6ThvYHvImvpC4qP5vzr5nc1MaM4p2mYgruQ+pMysh6jeeCNmfBnn1COMQaihSp
EbgeFbpBbesU8WLXn716FEZ4n8GOUsCE0eFv3+j1HMKML0in5eoTLz+nOOypek6PVFnCdW9m3EHg
kp2u8039f9g7j+1GjjXrvkqvnqdWejPoCTxAgAC9meQqVpHpIk2kz3z63kHd0i2VrtRL/z/VSIMS
CZJIRHzmnH28YlOMYKkJm65WiaiUrWx4Llpc6qO4c9gFuMJ5yAOU7BInkTtnexq1TZ2IS8/nhKyc
Efdgde+V9lcO10vLPg7TIY9AQjdtaPWGAw4mi81mLjCa60KlcXkI0guXRXBAUJcXECiQIQojximb
1vWISZ5zX/F1GSvVbrPOVeoX80EMVaX5ZW6Ybwicd16ScjgTFkaR+1wTHjZ6wsM7ra3xBykfONr2
dNMP5m0t+ys+uTvPRAsoCSSr5gYXVCJOg8FVS2RZErZX4HWfnMp4HlSmmUO4WQOTAm1cvxySgG5M
Q3kYEIWWT3qxNNDvztBW7fo0RtGmGkyQ9qSnxSpGzdXcB0hapxlvH/31myBsTeJd5G2fjqAGuh07
9XZdjO4pN3wcgzkHIaFt9NZEQxDjlpXmcSDWravJd4tU0ptLlkc65PnFCvV5FcGUwhNbmyvoUWAO
u6BaDrZpsdYoUGo2LFnYku4alS5X6+mbh7pw6RM851UNCXQ1FLYoaJpjLslUQbF1JQh54FAK2ZKH
2jbIByxiZtjy4XIEZPF71EEHF7zP1o3LfUC1xQKZ4SK9aI+85p927FcJso0A5c/bMVCn7Zf/Woov
9Zc/dmTqS793ZCheTNKPQMk5bEYDlyXmbx2ZyT+ZtEHWJ8lbeQC/d2Seguy4FstZGzvOZ0rE947M
/YUZvWWiT9bpo5A1/50lK1ien5esPizxAJO25eAYs382InpGZHDuOyXJ3Yh+IVqgIxwIux7Hgsty
jIw9H7GNsKY9Tl8opUDyX/LAO+Q9ubpBuy0FlK5O7lNHO88aKC6bqocntDyKxKMRSerHSbef/YBx
qd9M0wK77Lqfsnu3Ds8puM0F8kwkoWXq3YwcShEW3rTS18J3CZNjgaRzHerXs4LlBwqbH6OsX+II
Z2Oot/Qa0PXnlJbGiNhYwd2fQ9ZpgULxo6PMVxp0/hHqDbU++j34Cc4qVhD/vtcfekX1hy4yKMx/
i4126X6i/8kAcFUYQKVaJakCAroehbE+DjABi/RrkAT+elKBAh3lPsVSvGf/Fu5JsXPZFY3rskDH
QaskrhxHG45hglsINgU87Dp9SCRmQU20pApG6bmE9qGSDBbDzEzb7e7rRIJJy+SD60XnShrDAv/0
0R5BjFgy7BZhBei40IQ6RHS55EDmRJbdqargRWdTKTbEtm1pTQ9OYT7maX8bwArDWw9TYx6MnWdJ
7rks+dYb1ikq5muKZwpBD69Ml9bPotWWYUepmiXVsYsRBFfwnuDbdtTkY7ssVcRFU6bWokIYuhKm
i2nVvcnCiQHw0Awrc47WEjvFBjPOV2lyg5h6c21aMAilti31/JhTthuiu7Jw4yxzu6E145kJu+Yi
E5R9fsafRqfyWNvwvpuCkXXK6l5aJ8/BFw8rVltKRlE7siBXWaVt61S7ZGPZnOaM/SrVDAx53701
XfMUVKJc11M/YhGzvaWZwcu2qNBx0rcNqiHE0WII103UQGod402fFqfIDl8n2TNv0/xt1Fjuymn1
R1vK15RedGUwhZhk6678JLrBp300xnw1R+O1bIJvmG6qVd43/A0bdx9JPFez6xzbrjknZSO1m7L0
xPw+jSLbeSxOg6x6BJYogU/2Vyyb7FPRKT1VG7yUmX7bOvU3v5qWtUTwNEcbUrlWVTMQ2KJtat28
KkV8nZTlYUy5rEkI7knTW8km7oCzdcPeDZ2P2dUIIEwxR2+TLvR6tqL9fGe68ymSdQMmKBk2kcq8
GiyX17W3lai3g0cq1kQ81jBbl9p5aVRqVt4FD0VgLARxWrXJuihvnf0A8yWq5ks3m7uwT0iYcLob
YgsWNdFcpomCXEvQW4TEdllNe4QFjajUb7HuJbee4S2pvO5mSEsLV2V/xSoFzKxbPii5V2yDyMDO
rdLCLGLDhMoPkypJzFSZYuUn9aDjySkqlOeFyh7LCSHzCSPz7OKjJJwsVyllZD0+zkV0dIxMYfoY
JTuKZK7XocfyoHrzwREf0TGdaIc5JnT9khNnwKJKGmewd+/W7I1rfR7eu0YJg93xFtZntbeK/tUo
8420Idcn3gmg1SZo8pgWi8+Lbzc2sL3oqYAAvMoGkpz8acv+c6VX9SVICHuhcqWyYagsw+vUa5NV
4ma7spiCg6c5Dz6mSF65X+IMvTdIG9oiAwCdKI1qTX04rqVmnkY+BhevDG6JJduNwgZbJHpU9Qy0
TPokSjA2G47XrvhdKb2zxl4GifwSSyby7cT4wRVijU/hIwq+JpV327TWbcbfhHsAGUVEjgyWx0ve
YrRn4ckRltlsThUbbWakhIZ2G0vpodcV7EFb7VvCt/N9CD6OEx2EE13j3cuQuyT9la0ZxZo3dNo5
5nirzFtGjrYB7QO9m1/sgpE9e+fXJJuyFQg14EnWVQzqVikiXvVmRhyX16hKbNzN9rjRYnlnJoDM
mG0so9jtCFxRtK+o+ZqB5YBlbW1rB8lILyVuQ3wgplnddc54tPUmXWqW3HYMFZysuh7KSuwrYzhH
7XirT+Uaafy0cVzvqpTBTjO04T6ep24zdOZ7FnTjgpAV5jzEZM5itv6xdP1aTym7+p/XU9fv/Zdv
/6GUUl/1WymlY55mGg28jqGIqnz+XUpRZaHLwLhFOQX9Hd3u91IKyrLpIlN3TVOx5A1UZt9LqYDv
h5fLC4h/9NXY+2/MttEo/1xJQfjxsJQhWWOKzE/xe7la2CV4V0CPnpPiYk2AoMxwGhZobR/G2YTt
O5ksgYBh+bO49Sf7De6KtvRotxGRwPec0HEsPGBaTRacLd0qsZC4b0GcnUQXPEL2e0Df8dF10UYq
LlcSeC+iyisWhq4q2eatbubHUtG84J0HmMKs60GX8VK4ur2ADPPoRu7MOMbNmcPJJdpawaLNec6E
9xhN8xuzyWIZAhMbgIoBC7wA5L1OfBidxNLf5eDHSiaX1yFAsnJQ+04QZYafQnwpenIUSn5nTFGc
oEDh9x1wM2rhUC26N0WsPbESBvMOIk95ecGizUqOVHhsnAgxgpkGPI3Zz0b6wl8xb1gYtvGNAcW5
ydj7R6QLEh2RE7qEacWoGoKymXM5qcXnnFSZRQSjbh1ozks+Z+baHUKP00AXBw+BxgoiGdQ3giQQ
rRIxo4BwWNRXAYg4f4A4ZgGNcyf0KnPtPNJ9ymwZJbV9F2AFJzez+4TOjaBb5wdjGCgie6b88crB
1RIzrGp71vgTngSIRZGwVyF8tYXEZeq7aFSaaauLcTcPPWaxJopIxoyICrT7pacw/6FjPNgelwBm
0/cqdZgngrbrIfzMNspat+HBicPuoQU4m4j3OqQ3hVaEnbfZQ0O5GmuPojYtdqWpa+s4qzBPeTjj
FJA+mzhAY/1pst1DXnHi5w6zPMORD2gLb6PcvjWYmKNUgqg2bhngh7vECS0u7HBHkgupv9K6Yv5j
LAKt8vaTxsx2zv1Hra99Qse0zRCYWz3pWbMn7K3DYT8HiK+RsbvEgRWrQIHselltkwT5nu7Nl8IM
N1ZHRqSGyaOuu8dZiCfhmB/szYFNp/JZ98tjEWYP1B4vjPAu7B0T5Or+Livm56amJdHLeBfi/FoK
hD3F2B5yLuqlmc7PfQuX2pBfWnjRxGVfBWmyQtD2gjSvXYXWQNegs2IVtZJK1g8QDftF1TGo0L3s
KkMoVSn4X+u9yIAysu7cU82VOKNGxw7GgEwbt1C5l3nXvaLGuTWZmnoAZCzbOY+VjnnMnc1j6vfY
td3iOGc9RW+0yYpvGSFpQKIw8Cn1UKLkQsp/j376krgOsWFo6QLl0W+95nlWrn0S6L7kysfv6Fm7
1NF7GcTmKA7ovatc/2NJAotVe/cFQACsBS+zH58EoADL1LaGIgcEIATQl+7IeOAxAtSMuIoHMLwX
KcjnEPyAkxLHlPTGPY/xM+UHEe0hykSQBfinvwVcq2vi7C9lyKQ1bwxbAUY9oAEFXDpFP/AVB8Fh
LHaZsuA2Y3GziBUtIexjfY0aYNgUbvA2glTIQCuEBowF8rXDFXIpuAuTxIuQOleV39iXGTgDYgAw
DUjv07uqMJCgUbkQqvEwl+WRrvDNgNJHlMK0I6pTW7eZeY1OlNlchVBzEn6xYYH1jvJwXndenDES
rgQFKvqyqg34CyhEYKpggaFdH2foga1pIEI09jFUwRqWF6wv7PozzSIeQJh+kCipYxDxYo9ScMIp
ilZpnHdM9OzVPxvtz422Mur8+ZW/Fe9F8cfhifqi32584xdm4rZhEzRGIKbSmv8wPGGHrW57w3HY
xsHV+/eNTylArsx3C/e/kXsKUeyzegYbHAAKwuLzd658uCg/X/lAWbCC8z0huoNLVgr2HzBKxdR4
5tj5wdnMmYsiRJqrbf2ZbWVpDE/XTkz25SuWSNw+n0lYTE2KJWO4I8kBx7ogChDgwVuGj3Fiu9ib
bbSZbBvjWmWJUeWAzfsCFPm664MbhNcfghyuJVlUCLzMreYRCtkkqG/lVo+qrV+gmKq0nZaIN6ce
raWXlscoHW4yU2HsSClAwbyDJMOmgRpf7UoSmmnK92kLWvDaRNOXmKwth9gRm06fdmx2gZ9rxlua
QyuXvbOvfe+5sj3SQIevKHxOJJMJnCrA7F8CqLZt6GYLPMXv9eSvMszVizTgWCaPSTId0jaQvYCT
9MZOtuVVnyG0HlqdiClLq4ly8woScpnqEw+sr5pyfkIDfwKbkKOwbbgxMrgqJiL32AYQYVEJ1ZmF
GK2OCKwejC9+BkKsARInbVoUo+xe8jF87dIUHWt5HidaIC0PnU3emBX2wmIPc9hD6gy72ACSttIH
u1+UuV9uq7i3Vp2W5wyMAiho003uZFBI2R+QH/Vtyrn0dJhwKKdCvNuAxayINaHZYc8yjI/W1A5G
3+2HdjqmuA8RwiE17BuPNmfohmNZG8wQbPTmo9tyU4j3XCuGZ97Pq9Z5nXP3ZCfNshfiImQKiyW8
G5q0XdZE5DUrWGIyPmpm0SHMSjJKikoQuuouCDYI5PUYOd5eNL6NhqmPt4nvsw4mNi84mcRtHbys
7LdwTco9fxfGbLaeVIzU/OAuzELAJ2IyRhzWJVuZ3pmYBtSOLVaiG6OtwQnNIopIo6MnREdSrOvv
YN7oz/8ch5/HofWXAp9fw7OKpP0PFkr1lb+diToWSpQ8eOgCvu3vLJQgpEB/ImcmqAaNzw9novuL
anIYN3+PmvmtCXKVYohMLcc1kJ1zJv6dI9Hy/tAFBSYMNt93GGzTUql84x+PxKabHKfPfI1U0zxF
2rDvEyzQhXCZ18IE3WTetNMQeS+5TG/UaFpZ1KvFILHYTLhiKKg5XFjqVuSRLGm0WKYNU4hjxB+Q
ujdvQ47TJx1fK12e2DjuZ8/1j1Uu6rVd4g+srIcoqEkVzFM2L+J2xC3CiMX66hq44T23WYaWfhPo
RPAOfghcGwGjPnofo1I0pkN1lyNx9AzFcc6wYXYaFQUbtWe7q7oVXtBVrjSSKQgqsJfapkC6wunB
yEwpKu0QPnvT5Yf4U27pKOXlPGD2WIWj/Vp9CjPTT5Gm+FWxWapYVWKW9YozSOWvBpWJmJhE1sog
m7VXKa2cyODPJ2vdOyS4ZirKVWW6BngMc5Xy2unpt5bYV4JOmDKrJFirvSYUzGxKD3AEObGEt3D0
ER3rqQxZgzDZVKXKjuyp19NIWmRDlKQbNs1B6sUb7KMUTo6IS30NPoHJn5vb5o38HNOT/LAamN7r
Mc2NRyZPM2b6iobmuQBiQtAJqiic70c2adNS84J14dHNRhXirfK6MfDdYAUU7A9GJ3xmL0HFnbFb
KBmGQRXT96i/qSP5vdd0gSaFcIlOVU1Z+HmeSE5PDj3MdyZgzMV9I2TOOlj5OfT1e9hc9KEVh3zA
5MbOE8IY20EmjyQZm2JdC8IO1sbg47mfbpgn0am4mL1SxYqoK/0uAlAQypoM+No6yyjYaKO5QwF6
46TePhTzNuu7HWKKBiJmdN/6+XkMOEpHU11vPQNLxToj7Td1ur2dp0+OV7JojbfD4D/mGnuNoGZG
10X3VTEf6yG5q/PuOWlB9I8II1IRV0uXTDMwWBai1MEBXImCY/SmIyoBHWoKV0jXpe/piMCl5mfT
pshZsxsAJ2uSYD2TsDI7rybQrbDQ4Yt34gTW+jZ3ZLWfCPQ9Wpp9R3zmW6Gxpm3u684wSDQNbqI4
ZarcIz6dD7VrPOpBOqzSMt02Sb1LJjbJJVFMSZO95l2UUHaQUtJONCCyIg0hStivujNP6PAlCOE+
6PkAzm1m+tCfY4jnpjlclY2G3W5ERe28WZXurogRv5ujWIEwnmQ9KCXTo5C6sdbNaSMLfCZJpl2H
erBN8+K6QyG9iIPirQ/p+qyBeW3EbMXqxZUQ/G9GcIW9r4Upku/9qDv2bXHF/zmzxbIspgA4saie
hLkxElitwMaL/DamPjQB0EYvKTHShYOwqXb0jxkUFxDXlyYYaHB7SKv8CJb/Cu/ghNNNW5ZTu2Jk
sGxba1dH1TP8N5KGcpC07NqPvtnd+oZkujnScNa19Zx09X5oaoyCPT4B38a1E+09z7oxiZJZTnN/
cvqB3Byn2IZF7e+DutrFmcfNnT0xPT1GevPgFZXO3J2FQGyvICGfYhJaMr17ynL7rk54L/Kq/2rn
anBUn5LePI8i7/bRROJEmvQ7YcorGZi3PCSHskPSQibuuQn1DcIKMhu6/jmHp0yrKzZ9o19KMVxp
gXGlkfjCCl7b2xNKzJr9FDaZfB52Q8/8ZM6OUB62rZhv2j5rQTPIk2XVqP15ZH3Yx3kjHvCuv+L6
O9vS2be1/d7YuKxLd0+y4mPfJHeO39yTES8Wjhsi/4z3Xu+/ZXq1N3J8XXNe7vEkHEncPhSzySfM
GE4xXotkLl5HYd0Rz4Gaf2Kkhbl8maIFs9lLFlV1Rqp9lXj+xz+1yWdtovbCf96q7br8rRTf2j92
a+rrfqtMLEVwYCttQd1SOuIfujWbbGqKC8vRrX+l4P2rW4OCbrs4isnQAg/7OYX9XprYat7L2sb7
twv5bwxof6Zt2cjy/ABIpR2Aavd/XnS33TSAEXKGS6cfIqKhptuy2f7wR+Gpn6Ky+K+iyy8lKVfN
//z3r5T13+mbYYrhc+SGYegMjZa67cfqh0LAStOsqS7WAItcxUA10IdjyyysS6wzXFSs7DG7mcvE
9a/jOPae6V7M7IbseOTK7I7Ng+lWy2Ys4RSMSF3E2rWS9ZwY2O+4BqdJXEJHQ72l7aeG7YQs71od
mdUUU7FI73ZMml04ST7i+bih2jRWji0PWjWcNT97E1P2RSNHqquqfSrSZ7BSmGeSmNVHs/ZNsffi
RqLLrT/qzmMVmAwrQTe1TaTN/hcOMiKyYSd7pomdR53k76TVLPn1niNX3+sBiGjSKQ9yLN5Fw9yF
sgceVf4eVjojwrziKtFHfyGbekOG8hHRyrDyC8WhQZOzqDz9bWyKg2Uz6zXs4p7i4xCa5kM90nmY
Sct5NzXLeBq+EnRxmOy62Mi0OhXxOKwC6VkrJyFZNCxrDkWWO55dtiA8rRMxKfDPGutGDKSizX33
rKXWZh5Y7DFbyCEWth+pJ/E6JmYJe6G8FKV95Q21va5sybY4k4Sy6ARUVS0d55iS6ZVUJqKD3keH
WM1PBieVxdu5KDvt1hnQV+amuB/yAMWEn71oskbiOlT7AJnYtWgHA9RjdmAQStKKIW2kUdExar9a
iOCDDpV4PphLe5T4oUTxFM4wKkPpY++MjEPtd/WqJYlv9pyvVQJzaZjqKxb4X321fiSZ9cPPWRxG
wBdWsg3uQat92Mmw1GXynkgUyUZDLJdJAC2lx7KM8ktvNm9GmurL2saEDTZ/L5IM/23fboi2gMtm
QcO2m5YdvqYH6K26Czyhhz4irg8lA9HMca2c4nfR2BLf4cFoJZllLeyaSDa6cxCsyOj99M4kNBoS
E4LFoH/K9BkH2uR+pAjN2c7CbEaXu7Egyy60kMUHyV/s9tKkWnKuPESTvCPShfsjs84RuSqruIwH
Htbxldgenh4WF2t/4O/hefNL5oaw3JktsNJ/t43B3fS1/pBFAldQQeau5icQpVrcotpHq/kvGiuZ
hUucpGcZlIVjCONq7ZFsb65biyzG6pMCjjROhkhQMYgTJyDvnWggbMZVa1Gglg8Z/dremcf04lrD
vZQUaXP1nsPVg5JCBEhZfTNayXQZSyhkJryr2UAufZ2kT7bdroRLUmfjPhbBetxOKNyPecmmR9Nu
6y4N1BREyGQV5oS89+BvNW9EMRZU5bIRDuIOnt/IqiCsk5vZOIBzMaxqHuJSPpsLK66uaQieyZ55
T/RRLjjWSGBC7JkjJeljLAC+/UUbOyqp5JA73UvUkRrEmXNbF8Y6rYzbEgnsYGi30+StXC16NDP3
pfEdCjv9KhiQlXr+ZUL5OTftBnn/Mgymb1ijBA6wdJU1bbbOKdgzaS68pmYci6e2rvprjyirWuKz
IIx3BZNgWJQBprgU1VyoaeeprekrgoyopOYdKs7GlOOT1rw7HU9i73oby049MlZIJQdzFw4M2NJu
0rQ1EhLv0Yv6Ee0IaNE0op9w/KqtrjOLhJzS1u4ICV17PZHFKJY4txZZaVdE9mG62LZTWS99FLfw
A/PHTDabuh2eh0E8IuN40fPautE7Z75w4clNLeQXaTJMrq1vY+iflcYVwmu0KnI8ow6OilUie3+p
pWgZECkE9whkplOUx3dJFL2lZq0th6wTVzW2LAZhLfB3kD5Lu41fCkb62hDfJwnbq8DSDl3fPHdG
OWPqRUccKqB/xc+36BPunmWQcQZ0mnBXTVfNZw3x4b2bYpCeJgIfI8Vp5lPePIVB063s1st3fJr9
lRQt/oK+36GJGhCmg5O1iJ3cklkcM4mqAgIjWMVgeHV2gwiMHXO2i5O1t8QiKyvYNu3V8EwLv6I5
QC3sGveMAZ9rY7yLnNrdB3b3rIIo2QzN4fVfX7u/HzlQOiCwC2wmDi5zWJIHGSD/eOm6OHlM35Td
pfSHtWucU//e5adGVU5W2tNfv9bvqwj1Wkyhkd0ZAKc8BH1qIvzDxLdBQtuayJwuPpvL7FFOm1h7
/P97CfUj/PASg5BCDJ0YLhUfTMLFaYdf7eru/+FFAobgMK6osZTl68cXaeIsg9c0DBervpflcdSu
tX7/1y/xx7eFP9UPL/ETS6vFQxUZ9jhcbNbHcjOToE4VUnhf0un/eCXWAD9Qu/71pvzwSuon+eEv
hgnCyd2WX0aifDcKwBDmocuxKZJtepgJ+/3rX0z94L8v8gCH6Sa5g7plBfBzfv9yrJ3GuW6Ngens
s8Gu2sNlEl9N+T9z0F+VIA4P25/3Gi8oRv/YZ6iv+a3PMH7BSBgosSpvhK2K7B+2QohDdEdHA6J/
Rir9thWClM9bxvmgePm6o+QZ33UgcJAMS7HnfJZGJiudvzMCBQ72u+dDQeTYCeGoVFNVDqTgp61Q
Ww9pgVF6PFdtqC0qH5FpWN+3JrFrqcn0gJSG8p7NqzibbZ7fNV1Y7zTd6HbdHBqQT0aMzyXBvdK2
rsHl6etWkG00eSlSNLdftvAQrmLZvwXdUN2Xk8p2lGK8BBhrwIcU3jLowvLeZndSMzoEyhWsetLk
z2wB8BcMRXQLYBVOI9kg64j4u1VjGA9w58VOCKsjwpi0Y4ZY1uRTOnb1ZrRTc+X2mPpFwlKKELJX
TXcHdhn+I1158iAx251igPkbvBv0CVkxLsFpmufE8MMN9qhgJ+HLnqPBhA2a43IbKi9Y0bsHO6Zh
7SKKQOw1oFnsigBGOrBjJ6dtFmgvg4NJtC27ZUAs9NKJQdN3NpPHSF+bUX/Iau2qL32CG41TWeIP
1NuSHsPtSOHO4lent7+MLtBMmMBPESPm2inEuoojBsVRctfaMOQsocFALtAiulG0y+Ze7jQ3f7ci
StaxcA9ujYS1nTHJwbEgQE5zyD0PWeIXzvzCG82V61Z33HzXtpjegObvLJWkblfWt3BqLti6+2PG
FgY3CrZsOfjXQIbgmIfztVPylrYQdZmdXbLcejOt+mkesq9aCBSHlMFDJsYzchaANjjSkDjTUuId
2dO0OEuWMs2KGPczJxRio9zeufjVyX1CG+lZhLob8UsVzTeEuV6lkiGVNs7aAokomhZMiEuXbHj/
jP0ltd50SFzT3mthd3hxdIVoemb7yGZtJTCoU8A571qTbaD20KpoE4RoJV4h8/Kk9+LQo/KGF03z
R5F8ZNWQQqzDOBPqBgo/B1bE5GQgEA2kItqMxYMVASqaGplnlKERxlQ3xTiYCByF0ZkGxPoAtXOz
mT9y0oR7bWokzgporQMf8KXOk8pI+VYUAGD6xN6PfqBqoFy/L+KwgTFKUFIJ4wZ7Ls1A4OaKRQIj
QoeNOoXv02TuEs139pnj3Ndt+GoWRbv0MhamXnBN6SywzTjuIh86FFnC3Wt+bZ89KsIFo9p2WRmJ
uxlRCPUZWPuwdY46nEHIFVOw1IGa1KJLDmzLrpDqgIApcbkhJILv99wY4Vkbos2ApHRjA8VuJevB
JZbcbUP6E6kF9G9SvMXC2fglPCOTj0mlOIVmnr8idTiMimCYaR75MopqGA/wDUNFOkQ9FR1w+EGh
8sPrXmpkegfu2iTGm/iCnucc/TnrkfFmMhpkukhAD1yX/qJTlEVcYrhQmtLeThFwDV3RGCtZXEWK
zzgpUmOjmI0yNbStrTiOpaxuXBDHmxnEo6ZHz5WWWxczxczD6ZfttcQOluiRDhqCtEixIgE9vUgv
jT4aMJKQ2jr7xgMtOX9CJotP4OTntfEP+c/iQvnz+/Puy9f6S06Q4X+4RdVX/nCL8qmGyuVxWPwh
49l3TbQN//oXvuq7toIgZ/yoOrM0/vN5Vf5wi+oGdzLpQz7B6Cgz/tYtav9BW+F5PotMz+Qy507/
Oc2IiUNBxOg4MMoGmGSjrtxYfZyuVfOde2OLiiwDnQECrX/BeXpVNUSeu2wUF0xsEiUsb1Yg+Yzb
KHLXfNpJzJ24G3F4aFfYTr44oTlfB137PriyWXtpphbp4R32VvfE5yUGFUJnV0Gxu6YfWKdR/NgC
6RvYbG3wfxxQRR/s2vjIxulxiHOIXNlZihqQpbkLQPUpv1wMYMeq2DGxRJsnS6hFWbOMAuKROWDe
U49kG1d7zXrtfehjSZ1A3s04ILQryvybVEuFTNdIfOs7aGwFK0uU5AtcXG9TbGcq5NBYClKYMZWh
H++m8jHOyxvTJRikBCDiTUztZNf29H3bLiLfbe9W1i1LrRNylPeZhnkqLq5RDaBxsuuCPGNmF0+5
tBYhGR5x4dz3DpePnn5MkVKLCfPGV34Tn5gNBjvNA+4VE99nW6HSjsVmbAVJMAEpBrULage42YoJ
n71rfB2kN05DwrapSObSnpdQWedlE6bBGp99QyvK5Uvm3CLXrG1HpPKtQ47fakRmB+yNSYSREBXo
lJp1YliALRERKi5Pho2YVRnljmxftVLfcinuHZ3IvNpqk43dpc6uYxCRPRaRAm6bir2dNgrDLT6R
3KKfl6PlDot+TAbWQP4Hc8vdCMg7blU+42fMavsZuVo7c/INszTploEhgl1iG+HGaeg4PZ1zr1G1
T6SqoErVQ7mqjHxKJHyvI1CZ4DVT1ZOj6qhBVVRaRW1lUmQFxQDMy0FrEWLcUHUYIpIHraMy61Cl
rcdwLra9qtuIKZEMT8zi3CiQlKruLMq8MZ7YImOvXSLNKZfgEcdLoepCX1WIEaVio2pGLzN7xKLx
e2XEI9fhBI43MK41XxWbOmVnroFS8oK229WqJjVrV9xJV8KpLb3iPlO1K3cf8wCbupOytm1dQhOA
F6PQdXajSxZ1B+AfhBhY4baczoMCDWtWDeYnAz7sJKwCWwUknpLQPbQT9JiwWsp4eGT6xpRPYYzL
qGJzbwcT7jNb22taMLxm6YCGYJYhruy22I5VmX3NLKfZiW6QDL78Qzbg3O0VRrlusYmt6hk4M5a8
+mZQwOU4svyT30/XjesR+ik0UvdKYIeQRKlvdX9ctYCUTpo/4zgyMn1BNtO8/uc++nV39JdOyX1e
vdfJF/HHns74wSZpsCBSSYhgvj/VfNwG33s6A4WKDtOG4Q6fEoTf/76NWDihw8deGfCFv5orv/d0
5i88R6BjbVSCv6b1/o3dEWzbn3o6bjXbobMkMBG5HyG/v+/5vVjWxajJ6TRaWKQ3PCIkyFYeQUgf
+jwXDqPzlt4DVR0sy3lXupk6qREqM5FybcgbJoQpnzQAPtu9Ny3AbH+lmm+WZRB+IQ/3DltdjpIW
0becXeAgDlcGvV9zKl33A687E9TcZM9ZNMkGcKC19tjOr1t38Baw2ZwjuuF8rxWiZX0DYXFaolin
30wjQuyhpzMdDI5QP7MrLMDFil5r2tQO24lWIrgQZM0uibbFhgVz99rup0PmoGAv2/AqT0DxZFoA
jwoho8+uhOwvglSnzRh4sRLrw4JiZk/8lIcmZmTCiQOA6FNbexGcjZU7Fgcv7u4NN9YZXkMXg2JW
cQtO2nWdul+BZat4Nc/Y0uJ9zGn6CqoMmLTdGznmUy88VnY6PdR5iwqojjHzWKjX4vS9jWbzhTUG
9FJ4upuesK2V1wjaNZRqkh+3CK6IuTAwBOjawa5G/eiw2NsmsYmHCIH3scbI44sovWOzhZVtutcq
YuxKu0Dz7Zc3ngtqkajeYunrtsu6ga3cnEFWsfUBPeSUaUcjptX0JvKiXvoqAhOrW9lVG05Gu41y
DXwEcpLarc8x711vQg4+TQY7mIUWGcr2l/KdMIsFWnuu/EDCykWlB8Wgncx7zexEsofsjSqjL4Jz
QhyGhNzjIyrC5mSF5wB9EWS1LPjojSA7mkBujSif7+yeuevqn9Pr8/Sy/49q+tPnXXfzH88v9ZU/
VNOOb7Dw9V1kx59gq+/nl2kyXkKExtnh/xTs6OFawikUBB7ea4IRmCR+P7/+l70zaY7b6LL2f+k9
HAAS4xfRm5qLVcXiPG0QlEQm5nn+9f0k9cmWZL3uUK/tlS2ZrAFA5s17z3MOmDedJNpHBvNktMq/
JcszVbvsu54lv+lDpmw7DusY7amP9e27FqkfaKRMExBwzseo2BiTQxipSX2VjvljVAsPU2Xk/I1J
yZMmpNXPdruvbOO9B9hFE5sNF0OKZTC4MyJfvdvJQq5pzdgUjlhFFnmHfkum69iNPw0BilOjZ2za
55QraUu8oUsiChHVk38VVtm9XdMOqQYV4JHMxymZ7qVsMfqMHoNY3IEH52dXabvwAyENR+m9dEKQ
LzIkYAEdg3Xi+9dQwuNihMhj5t5tpAmkR67gzkH7FZfjtNHHfK014w0A9XlUgF+qVZc9Q2FpVVtb
IYA9LGDm1reAIDRnpuLUKFxQtmKb6H4I7tB8nhRSWEjZMwkEMxTwhrBItxQnG0Ie7YVPkmBT19G+
h1E0jNBdMn687GWF0GmW++CDaRyzXagoxzHpwlVaq7J9vgmkIiEVE+kqOjKN0KNlAJN+GV0wMFa6
tHQ9g1TGiq2MFGUpi2g7KO6yUgSmplhMQ1GZjOg2HZimULymANxMFcGJPOkmhl8pmi8mgCeK3XWn
iM9IsZ+h0byG6O2ovxlwWQCisSJFhWJG2ZmYDUKRToonxRVl5wGYIhTA1yczTpViT3VFoUaKR6UX
a25n07yzFKua9NhsA6+WimKF0d4limt1AFx1Rbp6OAkEoK9N0V4NoLBtqm9T0NhCMbJ4bj76FtRs
rvjZQI2yfZDaGbR2qqYnE9QWdPnFUuxtJvqbXtG4BlgurzyuR0DdXhG7HJxA0IzpKlY0bwDW6yu+
txf1J/ys6YbWhrmPAKlfQi1z15Xb+fZ6ysnE0eeNneDlWuPmeSl7zb0oZdFcjw0B0CzxigUTJUu0
7XhA2SRm9rYAe3IZYo67lpDwyRYcpIL62ScifGlN+c5KSl6iQc7fJbt6QLvQ2XzFHt4dWhbO96Is
2EzMaViK0r31KufQGtNbGlbJykjsmzSgF+dgdTxnwEQUEIYfk1/j4CICoPUlnkt/3xbul1H5GwsP
aaLd+w3z2Oa6RcPAg3gKKFRWRJiVeEYB20euhtmatcYuTAE9HtpVAttXxdhjkTrIaRMbwXtaYkxe
T4wHs1Y/92FXLJ3OMlfBnB4qk1TUWXeqnezw1sHlEreliyE2mxXusc8x/sULx2nbY4hS4CSG2n7T
9SC5K7AN36W9N2FCl4bMAf/dnb7W1v+4O+05xf19X1LCq2/7kmEjCUeOBRjr/ZTxQPwDAlvdFP8/
VIeS9luXB/sRB+DGdVx8Ienl8Fff9iX7D5KLXZxC0FAptfhvEjQ/24+gUveFeg/gu4Lc6p9GdyJM
S0P2bnuZJU5InHAarcYiQ7lyPZl4IijONQxmZ22FvR5y7/fJwL4DvEWWE0ftgccswmaj8qJqwvXQ
s7Gi5dRr14CQo1N1LKppKLaGi5aER81Kowbv7iDuOX8HfpG/zDX39pXbdX6dr1y97K3DaNsDEB6e
inHz6s5tPc9kdAVug93uWPOEsbuF9TZuSv8UVnq4l2ONh+EwWPcVTdvEIwir6orEXlhJjJCpGvpD
NOGHTzBDfuliOHZjOMnwSc9tuySqMJSfeqseN2mDOQYmAAXCmQJPAM22NsTWhQQIYMsHrCqmazTB
wR4L6OGU5O5wacS9gvvL92IgXmIxmmb96kXAI2lrmd0yDGwi3zArvDOHCq9iOjrEkKb+tg/TAb2R
xI1wjrapZokbb9ZTllFSGtJOHy08xOFi7LbF+t/Rp8uaRMdN0sUNWT4GlrlNQ5QhYi/xicvU7iqc
jujRlL6x8v3QfBEzphDhPJPUk5id+SmhrX7oqkbuJyCWJ87uYsVYGifxEpnE7GXdueuSz3yl+b7C
4fTWaAB4l7Gueyca5f4COXV4OWWJXMnJji5tUICt76P6Jw/Zu5wrGhBZlTOMmbJ6GYLjfEbQnx7t
IWgeukyF5bB2EpoZmYhUjZTYhJCBxuQzMzLGyrlGfqRtqMybKxHRssM1uDjQNMGVo0kuaMvNKIE1
b1PZ0/g+kCu788pMXowFfW5AZFc70dHQL7KoSQskwqQYtC0HjGry8m0pMTG1cHWiWVmzBc+mH1yk
teY8IKJ6JDPTPJoapRlvP9hoSHpPbDlKbFvr52kOx4vUG+K9jPCspt8WI+4pp5uwhofom6FaT1E3
Msebg01TNY38t+7/OoU2GBv/5y764a3+BZuofubPlRVrXAP3THwgKNI/YJs/K34dpgZq0Ya3wezW
ZT3+trKyfH5IUBUiwzqqVKjfVlaLlZWBts5ZwEF6Ln4ryszlnf1Y8PuoYQz0riaDcANR6k8NC6OU
TN/m9tIlAnyRANmQPBmapHVXlr9FZf3aBHLYVKUd4qY5E3B1kTVeR1qDG5nxc2SS6nAOgwJrJ2C0
MkNUFePFVGp2516VCPuGq3woLwkoi+6wYSfaL8SuhHDBueFIHcYvIrVZxPNJbks9YL2WqH8CCG21
xJvWHG7aj7u1sscaYCLQMmImjdZNm+csJMGxXIxkGOLoLjqniZqNycHFuOAgMhe3cubojSYVjHnd
FvS2fSFBF12s48ceZx5CzuItBqDVeqjwL+gTx1gPY4VFAsHcDyS2dQax6pMzr0XTTbiWmj5QdNoJ
p6KnE2iAdVapEYFRzs6pm2DhV6VZOLe4wwLlEMKAxzzs59Yg0729TURa+2tsCNLzaDqhua1c/pvx
Q/E0D5aPgRJBk1iujmHh7sm7Efq/jcWvj6hSJf3nR/RU5O1b/Tb9vQBSP/ftMTX1P0xD+C6pyWh2
hCpl/nxMjT9816N/CPmDTO/7xEFwOag4FwzDYlz91zOqqh/PB6+DvnMofn7LMoQx298eUjZIepqe
EGjJUZT9+JBmJRv9pFwRMzH3G54TrD1199nFxqxwu0ezde6T+Zrw361ZGWuz8q67Vt4DI+EBKXAo
LhkCVfl0co6kwH4WQ3Kf4V2zwj0z3k51/olCvMV9lr5UFu90SbmEc+nG5iC0DHu8ykzdeNHyvvxk
tDn2zUE6rGMrCjYzubtDBCwcyPoiVx7usTJzx9Sdg93zrLWLVLm9D3gJTdi/E1D1Cjj0NCpfeKcd
T7hm4hSvPONLzOM7njHMDvGTn3TvJVIO81g2BcBYNiAQ9vMoH1905UdPCt0+aHCodzwCZrGs77Gu
99FuT457C9WHImBdKYd7Bvv35Fc9e5G2G7DAb5QXvmuWKx+LowyffINcZzRdOHNEl1an6CTmYfiw
fSnKFrE7PhCVM1z6EdkzRWTuLWJRkeUyR8EY5VZWpxrzzTZ5hoWrFrzFLe4fSFc47qTK3R9fLnz+
leN/YAH1qAyAHsc4BaNt40A7OionoFCJAUHUrYcivimRZjgqU8BS6QKgvShi0i+1yh1ozQZsrNa3
tcokwGz7CuYIRBtjXF3lFoS5eGtVkkFKpEFAtEFjS4yO3PqTrlIPGt05hii9C+IQRifAmIGABDS8
Z0SblxluV05sE8+HmHiQKi+StFUbt41WpS2kKnchV3boklHr0hl67L0SixLQpTUdqcwGnFO52VSO
Q5vNV37rvtqltpcaSQ9dA6CnA1KaEHWDQitdGEsH1nJS0CUxvje5wjBDrhy5zvc2fGalQE1dIZuV
ZuxTrziVsJw9TGcI21kqyBP7wQCADPCzUAjopGDQBCq0V3go7iyPnQJGZ4WORjCkgYJJk37cZQov
rSUZRvPEPA/EWcC9Y3zuvXM9Dlibni3gwwRIiNEiOVK4AZe9x/wSkCgGKEqJ7UTWdyoUaTSDHOE9
e9QR9puKRUqBkjzgpJga1g/l1lHUkgO+NIAxlZ12H4E16Xlx0YE50bTfJ7o8a+BPORiUkyC9Smd8
/ACkmI6dOkVMlcl4neIdOwZEhXQOwXPDjgCHvQFqBXy9q2R4IS0YrBorlxIoawDO0hWl1c31KpDt
06D4rcaaNxFAFzHodG1AvGpQLzsqD3BstCCIT54UDcaZ52yBh0niuXJwsUZxY540b5uieSS56sC0
4tQBmIVyusn1lCEYD32Shhts1h8lSBpJZbvMiTxwwnzrKGotctuTUBwbh89rC7CNIc91pkg3qRNC
CvrW+/oTxomgFXqarnzwONwFjl2NtfasyLl8zp46UDq3I6ibASNbPu7+wHYidV5m4LtBI0YZGC8F
ysvrbtcoSK8htSQC25ub4Cn6APncD6gPRgT3yQ/Uz1PU36T4PyKg5jWzzIMPGmj5yX5UrKAGNAiA
c7aACANFE8aFPA2KL4wUaKiIQ61OL+EdtlXhX9aKSYQu2GSKUoxs4yEyuuMIvigAFQ2FM6pLKDz7
U0nzvWjkWjDtNKT2OAJCIii+1JMRn1yldgeVNBUzGSl6EuP5VaV4ytogZEoRlpWH2AfkcvIzTPCB
MBNgTKwLhxXD5geUjxcVuGYItok7+jVO0Zi1WXdQF7goz5/i1L2lfSuPuSI/dRDQMstPmmJCA4Lz
LCBRo3S2HCQXlqJHsW+01oMiSpMRSMWUb4liTV1FnU7gp4biUA1ijjY6aKpb0S3lpiiXpuJWHanv
GkDWBqC1AmydAFwDQFdspIncUgJBVE58ZoJu0se2Cvv9aF0luBTGMLNm7OBKnY1b2yqYFcu7SOG1
+CbtNHjbdvb2NfztnBqAlj5fjXGGo8nRQ0/XfWfeJgrd1Y28WnlYIyx6Y7guhXNqPkhfAGeoX8bD
0YP9wQIHdIbNHCfMTIHCYYW+q5rxrvN6ns75WEVM5RzVmJ6mckdy29aVuX/lqcZ1plrYsxZVC1O1
tXGLGVFcZJ96Ot6Wg28xOww5N+hOqRNTfLsk0WDtLqA7uxpV27zo/f4ixtGDpJnpPa+RKPAULxJS
7JdCNd4dvAfXNm5IJMqa5PzSnndDTG2MsKFjl8UOarxMHgejpYNfGe1TbLiED2A2rGHXP9jXzZDP
nBNnjE6H1AI66DPLQG89k+JqaMdB1BcID66IRtxYY7wm9fohq4IbWUEOVSajRvLtzdTr1jgoPQUg
60tXDuvaAC7ok3HbWQRoiLb91GP4ZSTeM6T7qR8mNpmIBIF+04LSR6K5K3UiOD03fGVlfdBFvQuG
8Kzb4xud/UM28zX5YbTmRgJa0cRTOdsHN8pOdIXF0nEz2t7JRiuzi75ji6YH6a2++sQSF5YUN+gT
UX5k8x6k5WiP0c6o6dgnNIT9YWEXesIhIJFoHMS1P2S3LXxMX0zTKsvzu5xO8zLTkgNivb2uaydO
cEtKIRDuat8GPgcGOjludZBlS3KFOKQ4DmHAQqK9t0m88rNKjEMldD0GVAqTXeI0G66JMMRdoH3L
Qv+o5TQYuOlGIJrOTz/j7ysXDQ2NQo9uahVMZWKCxixzITJnF476bZNoFfpcYh/B8EmQwr2WaIWA
lDg/wDul85tNGxu7rDOfes8CUjHGDTGAS+EiYAi4H6OcxI4pTZ4Q7i6lYQMhw/T7CWIOxjF7rYwf
fD/Y0hu+0nszXCStcTcNxkbE5WNhOPpKZIxLtT76EtRFD9g2dOs2xDnO1i8DKV7Q7jrrKC7XVuAi
DI72fqT7GykDzFtmYqHty7Y0+MQMh46Oyc0ii8FeDp6LbdlUGutgcrxzYRQoE1F24um7Clv9OrW0
Y9qO81KTYtM0xGcGRH4tavpfu3Bynu0hnrBfq2wsZMbjiAf3SkPAO3KgLDXn2TTpk5QRbmE95Yvu
dJuk6dNl3vCp8avb+WrpqTy56EmE3ckaia5dJqcSH18C5WBizPpA15EhjdOgva0zxqdjQ4lY5SuL
/2IgtWJ+dSujsUSPwxDaNbHMbbvjXKtd27aeRoMHLdY9uapHxLzVZF0aSXSZDNiNxhYUczg3xzKg
LRiN4tGUqbwY6uDab9JnDFesnXrcHeRsuDiwmyd1L569sL3NS+vaGMbo6AuCGY1yL0v9Dh9OFFO2
TrxXt5WYIutZcqwkUieX8ZO0s3eyWVA/CXONyuUuaYuLqCVrrXeoM4dx3Zjt02RUNzhs4sFRupex
IS8zNyYBzpoO+Rg/VKn/bI20AFmHD7ZgxtBJp9iYrfUMq7T3GwJ3Yj3KtzkuZgetMjYFIP2qzMkp
YU5lYtJbsjtKK9PF7WjEJscI0qlQlKaTZcbLRDja2jSiAPO87058V1+hi++JW45i33U51OQU7xKC
2hmQMj6l0/HjAcqMdJ2eZx6dSZ5c5PmpIc7Gt27/+UV+1PN/exHHsND5CYOj5I8vkgRjLaCsorM+
obA46RpSauuuHe7++WU4if79s7iOZVuKTtA/sILvRrQByAOnAJ3C3XwfintNXPz27yf6ycBxnBAm
w/75u2poeBS4P6bnfOBG23kBdpx/nr5/cS1+8f5dxgJ8Q3xRaEB/6jiBFJBtbFfZ2ePcYV/Z/vGf
f/9PlM/Xa/3d9/PTtbachHEnS+mZrD8Ne0NjU7srK1qMbzgy//ZLuRy7dcuzkBBht/PjFcegUp9p
NCVnPd6R4NfqizJjcLxkG9bKr6Orz+P/k2/FL7429ba/o4nUx/rhsqhb/LvLjlQxw5YmTc+lWDK8
szl3tZhMr6d+8/sf6vvr/9OHyt3YLzrv6wuR/5EzLgg37CNqKy7/l3vtF88ldByGQnjVe8I0aXN+
/6EE1uMFGy86RcKt09d+XNvB53/+OL+63b57iZ9vt7mxqZVsPT/n3mscPFva/+F2Rm2G+4BvEKb2
0bv57rogorRbC5utc8wKKPAJn/4Pixd+B7rDjI3HBn/aH78kQnio7x2jOM/u6+BedniT6+3/snb9
4qHhoWTqBa1mK2Dqx9fww4xZPFG255rCb1p6qMPsa0zdinJFstg/X5FfvBYqE4Y2aPVcg/7Tj6+F
ixhNNgxfETtRk6yjAlJ/7VaLghrr5uOl/tX2G9zmfy66q1cyJlDyc2i9RNL/3/91iHLZ/L3fqX7o
W7/T8P/glrUpXg3H/NtYQrDuO/QZv/Yu/5xKOMRN8A+Ke8dzPkYPf04lPjqeKjSQR8BFhflb815X
Pfd/LXbIkHz0mp6n++jlKH+tn24RIxAtnItrX4YzsuB70ydfiRDNKTNWYaghZ/Yw+otOjZdwNsAp
A2PDIb3WNZZGcrNJeorGNlq2rh4Q5enh37TPinpeTW4vVF5XwwyhaYILbNsJjQU0nJPrIkseyyG7
cYzwZRxMQB8hLieHU6OV2zhruCMnuir8VLh46Jl6blJ44Vwx6RrGs90WSwucc01KwkE0t6ERPDGi
LMNDocdkJ6chaeQPHEQbtBXdvCXfkCzyFfZfo7MsENzkJ0ubnN1EQzVSnVVcl4c1eWGYqau+K761
L1J1YlsnC5ZGmW8aZOjk4sS7KtZ2ZJG1i5FGLiepmDEtvd3Zyu4jmr3miQf7VNAAHlUn2Fc94SAN
7gyaxBnOXT5N43i+NmghD33z6NBStki59k//PohfhRdsaf/5QTy+Jm+/eA75mW/PoVL9UWYxmlfL
L77j380dxB8MEHigBNIH1L/81bfxIGblakv4E7zhF34bD3p/oF2jajMIhBGkCvu/g9eQ7vnzk6jW
AJ5GT2fWojMH+XGxRsrLIKrK7XPSpwB/km7A7TgSCrfjlJpsB4zWOZBaclnh8CAx9t9bNdYhdqfZ
uySgKZpNJoj1oCMMjiF0NmNH2pil2D8BBOgpGnBQXGAi8wtNkYIfhtdjSiRkJtHftsnGnz1siHta
DMwoVsEHdOggecrH4QBZudE8TkhMI7ubtm9Qwo7OSzr6+aKJQ39NGtQ21YvdjOXFYEqEfuSi6A4m
5I0JIpRn9a6djUu/8d/coLuOhHcGFNijuLyNPCwViuZJk155yANAvdDf16EV7Q1/eEpbufS0ECNA
+55EvHFBkQOvk4gSUYJ8ZkPfC69cx3rwLPz0tQsFR/e+Iqyv7YdtE0a8ZwswQ+B1UtelC6riHyoV
OZHUJgal6WUFHUz0hDxVmfVah+0ZvPS95YsmR75YzgWwwxSUF5mbuFj8tTuS1ugJ0YkgqXXhk2Wx
TpRJYUm/SbgTIXPak1eH19NgMddp430nKSUqt5lZBVgGPVBI5i3OMh6KHUKQ54ShLHKHYmmLet7Q
mZuXsgw/N8AQS07t9io3pq2jRRcpku8tIRqXHEzN1dCm4Sqq64cyCK21qN87Z9J3TuL4a7TM6MMZ
51AYvGsjTRHqXnCoDjojwpEDad6dV3vaUfPTXWLX16lsdn5fE0fSA6y0pbu0JfjIqMvpZaKV5Unr
i4tIZE0YoL/E7eLZqssLW1q0JObrClMLNM7PA0dsuNrw3c2saVMMib8um5jD7bRLwMEWtWU0DK6H
NwjRgo6vjVy6lJvY7D5PYY18xRYbt0+YVxj8fVyXADnkiX6iaW0ekQEh386U9WmL1VO6GpQhKp/f
2WFvjUtqYEc4pvZY/yIr9FzaGPTcuFKmi4FLRUzRAm6FGxSX1gWZZSsyaqMNeVzRhC6RHiHbSLib
ev088zBcT17sbgnHpImJVobeqXkhRCxAZNEdVvzMHJXaGft4sXBHvaAb1+M2a1ciWSQGKI8lonGP
mw0e+yCnF543zoz57WFNZD39qnCQC73vNwO59h6TiaonW5VF6iQ62gIuilrMjOWqSePLyiFZzjQe
UVNNt7WhJc+5Qd6PWWWIY+htG0Fdrr2WG7J2REI6OJ0Wi0HjmNMUEWijFh5uX9vM9LWVm+uoNIeu
v8wsaz3Kwl/QuzpBIqHixYenQ9G/6MgowN6p+VR32JcLLDCRa+5zpxNgct6FRoDWhSFJBiiUQJXw
9vrFRMawsHMMPzpJgKylNso8dNNVRGYTHcQ0W87w1p8rw3yKsywgmoX/d6gHb5vPI6tSktrbIsNL
vdFiHYlAVSwMU13fACPz2Qrwywu3JNddRjxRy2HuLmJgonDgU8P4bgxZHIxJbKMsaNeFz0wwnmuU
Rb63HEMXDIRWqmjnlHw3IovicNpkeUbgXASaFDO5Kjz7gFMh/bqS/FI7edZ7ED2tucU3vl+QyIWB
11DTjU1OTVfLzUTSFNOWehuU5c7pmncpAjII2DxWpZbywOKfY568MbvLmjg9+mGP237UwDJE/jor
6NnLSt+hBHuk9NkMVnnoAu9tLEwGfkV20SY0iqQxbjl/fz2B/Fuqq2n9f64QbguUxhw5v5bv+y//
/V9fNQ3qp36oESjWqYhtzCqUGOhPbYL4w2aH8ByTKhlKl0LgW43gQQaYFsYXrqFC29Qv/KtG0F0B
lWsxZsOi5PfEmZanDod/VevwB7rlu1QqaJLwxnDNn6p1Jk5pmTCIPpuCgffGJqZwCRfcfa7jbt1b
ybjQsyDZaQGBTbHhPwQtz35QA7JylvjUZumtmw0+RbW56lqaKEEZfeo0fd/01REfW7msbfQ0OCOt
AgersUQYL1iyyS2pF80hq6o9i9RSzNFZoEKkw35qkokM68ZfdoRFLPsJWs9tvF0eEcUzsNgImMTB
QYCnzVeJ0xGtHA03pmiffYTPSzvJrxEOGRx+tTstJCYs6ONmAS28kYFDrOJTGk0vg1S+QXZ809S0
4Gss2IzMPmQ6ozOGxNupKMyTXlrnMJqthW5Yh9kuAQu6g9cEX0p/OESm82JOTnJtjSTsyjw4Dfg4
LUAUnpFDrxtkW6/gBgrm9VZzUz/guf5FunHIWiCqJa2g+9HVvnT0N5YFmGmSeKcplci0+AyBnpyi
uXxt4qLZ9AFJ3LgmZxjeVPY2J5g6GBEs1F52P5XBuemGF4xxSNxy2c68attamKz5eIQsyAPdeI3c
VgEVoMm6bQ/zrhsMHUdS/yF2SPYebBx0yLlsPQyCvfg6z3Rr2efj0Wvm49B4+ppA7qcotMWyN8mU
q/zkoWrYC5OkfbJnptVORWpzk70XXn2i3JTHMIFwCK1wlTNWGJquXSLl3TWBD0ZRyTszrdFcEd7k
ueTgDE5XrhFUfcmleyuDadupRYpsrotJLVsE/r6NrGMz65nDusaf7XK10Fm9hwOGWvzCuL3KP5ZD
1kWsMdQi6TNkctSyGaoF1GUlzYxqF7OyOj1pOa1abPkfT0ZXrcsCuEtXC3LPymywQses1NZkbJkk
g4uzhjdqMW+LwlrlrO+dWugrVnxLLf1zgH2s2gwstS0k7A/lx0ahtgyTvcNkD0nQ+KY+8oKE3cVK
hotYbTdhjeCW/UdnH2qZ5ZLnzXjycyeL+jHMW8GI3s8IYSly98Ys2WzR9tWZdq2XfnXTTDJLt8YY
bVqhQ+5xrO3M4D2RDOFsX1+GBbMSvXIv3Hx8aJz6U5tQppUFvJtkChYm10SL7z0mn0u0S6tydJex
cAlETvV649ntpSFSiw9XAk8wnBRjjNRltNYkbw+gte68pKTPlmWUrVoCZ4UzoUsxIQPHFy9gYOtP
91xoioQYC8tIO+ZVuA0TbZ9TgtHjxfAPnQC5x3E2MXfLmeV4pA1Z84VgMGdU9Sq00eyZ2Fv2GaWH
iOKjGxHa0yZk1I7udvAZ7ZYZF+ShVTqosVMjUuq0bh9pAUR97q6mrMFqzn/KcOuE4AmPvVIuoyL2
N2PmdIs5waq/0i9F639uBmhAZAXT6JbrxPJXopxOgOX7oSZZNTP1+mAOA9fWxq8OE5+m/oy84Qx/
smpi606PJL50E6kjiUuhYudrK+Ep1MllqUbDVyjprd0FbxU59gu/z/atL71l4/Y7XHrGpVbZO0tk
V+ir+0NIYRZHTKS9qF+GVnca3PwwMncEyEypFL1n5oCLFl9+4B7Gp/qWECNCZvpH3Sz3AbFpWCK6
6yROWf/GHHMip7gRnd8uo7lGHIKNqIx3KQtgGfWXgTPf4duzqMz2OjC7C+xLyf1h5Db602qeiRd3
6rVAxlMUTU9eQz6zCouNb7cHPZ83HuMh5NgAJ6X+KQ0aEpPN7kVEWJYPpi32hiuvDDwNSimvjdk7
+t7UL2fG7LjLDBe6k4BoIzFJShmvMy3y90La9GPC8QrLnk2STlem770LkpbzrEQZ0a4bThgbeib5
cgConNryqnW9+zHqwmVm2yRVZTbOirGZPiUimFay7N/jpjswiX1Iu3wft8Ux9FFWYMh4Q6Dhyozq
d1tO664zystwHDEbne8Tw5wXWNw/sAKvm9y+rrWgQO7iP2tO/ThW42HIQvTxXeZC9XjL1ggPJkPp
cFQGSPJApcwybk37oEKRrrK4UPqQLpU89Kk2AP5oubHR5nZYegwJUx0E1MYNhxbWDBoRfrF60a2m
vhhXTW28+vN8NupMrCkXkMabBsY0CPEDUb27uDKTuZWc2shluZzGHII1eixi86rIzBsrwU2+Lyym
AM1n2zPB+nySB6dz44z72WT9ql3so3M7vx8n7aEci7s0wqR1yMUKY1gopmk4I62dl9bs3c7U/sRE
xN113cYRUgY33llKcuKQewr+bzDsPHxXT/1icGL+OJejmUg/ktYKQkwElJyqqJG+HzI0FV6/ky9I
C7/NFk/2pr+qlgQ0Lv3Xuxu46YtoXSzbXXS0t8Mq3BWbkPPjLj6F24/38W+Ba/1jL/o2eqt/GX78
XTMa8a2OrtUge8Lmkf4pqwIo1aTZauDvzRT3rwLX/8NFAEjJ+dGgopX9V4FLfg9NDjrVNnXuR8X8
G1S/qT7QdwUudxAyXlV/MxrRGVL9bYYkwiw0i0g/0yajI5vNaDSMl0J+Ic5rJsuPA25+RCGE2Iyw
syNnNXoKpnt2yP3qqhKZqrxJyQNDHbrUVUBYk4RPeW1vK8hLkXtsCpxLG/eZPiEh3GSMzWSNtTaK
fMn8amHK7r4c8ztScYia8AFeKsQ9KyQCzwHpZbTqD/bE6keq2Yx20yDlzLS0apmRexayk/gqCC3B
cqzpcHyOyUhjz9gNKjTNStqrkRQ17PPvQcaPfkyGhQPJmJC3pg35Y1V3DwlZEAuLRLba1zYzCW34
rLqcyctt6SP0GXxUCBER7yLAV8ol4a2NKCa1ySNxz0IKRgpt03uLiVS4ajDpMiFj22P9SqRhgOmY
DgsTD9oO/SCsalQHu06btoU17s2P5DnnZii7G+rX+j4lmy5VIXUOZh64Tj3qFN2eirEr9fGExMde
DNLV1jZZdy1Q1HIk/c6ymr3jqx2KXLzJ+NKQkidJy5s8TGQnFaA3e5iHqEi9lPhg9A5vwoVD9W3j
/sPBbNDZojQr2LQqmm8aCOnTx2kXk9rn0S4oSfHrGr4zqYL9hq8hf0hRSfxrR9b1dUDC0ra1I3s8
tIVq0Vil3u4Lj2Z767JJGmZL7H1V6LVLcJFFPdg0lBSvaV8NbDe22a6cREcWNhIpi3DZLOoV2C2m
aeSqou72iRyoIFML8TkP6wpXZNpwuGMTOGAW/Nugr4a5+ewEHcGuSfVOmBZzkYBwoRzXS9eYeppy
yY07l9PBFe6lFppsSMikaV07uLWGT+loPefeSHk09qhY8T8m7C9aWZX9JS6bd3Ma3+a2nha9mz5I
x+JWEALPt5HQi8Y81LkWEb3UirVl91cjeXcr4Sc7K6yfvcRuNyROpEx+veepVfbeloOrmzt84Qik
ImGGkTun9bGDaLylHvvylErtUj6n/SqXmJmN8RcLizs7434hBRpW/ODk+TYuyutexCFxh+N9aeGg
7RRym4YBfhkcJKTuPAbkwWxt/sQzhkc5V9f4qC8nS2s4tzxD3eERN2kFBsruHK34VRxk3WSlIc0G
Xk0XmhZC0NUjlcDgkM0RVjd4K8l9EobquHE504qk2fXu+Ba5DlZf65tqSurP/+4rX0crbOT/uXFy
fG2at1+xV/zUt8YJQ04VcOQI82MX+CEXzvhDqD9G/u3QPmFe+a1xQtIAsxhEQhiKMQb92I2+NU7Y
chCd8xuZsDAKJVr2N/YVlZn0075iG7wx22aUg9iGuLkfK5O+80eN8eVwnhgauuuwD1gGOrUiyCki
NNRUx7pEivUU91SSRmcQeAYyFrX7co70xdg7pGs0ODYjORzNdl4nQ5kXuHfmwrE/j7i+YNqCX9S8
biX5H8Qi1/gvGdJ/93V08LdT02CxT+FnBatgmmfMNstC3cuwr+BNlSPNGVl5MuAfMBeGhYltJ0dj
nZmyntd0nsh7C7z/Ye9Md+s2ui59K98NMCjOJNBooA/PPOholqU/hGRJnOfiePX90H4dy05id4D+
+SJAYkM5OhNZtWvvtZ71xQeZqJtWJI6zQbJtmHepyoFybdOfxSJGpza3DLktlW7cDvrYxu+97gzr
IMZNugqCGOYvxhxBoMkQ7EmYTV8iouKWLrnpymIsx26lpIjkOozpCENZsEWmgGzHvvvSmRhapynT
N5KtFa1rFRgbcwzfrV4h6Tt33hkRGciHg2xll/ysVOJZytjWG4Je+0MYlM3BmbvRQcQuBxgnIPtT
YZZq2wntbZnUywy6yqIWClLLmbejjpHYwnpkgOP3+bPqzDbRqQj2Za2kl8YIFI7cJnfjlPlbYk/m
Rk91sojCztiANEDW2uQW8y6CoQ2zTS8JaEFV6BoQkjoNtXHVrxylYPTl6G8hLpctw2Iui47w3wwq
xaouAnJSLeWlJBJ+a00pUlu3cDZhXb/bve9vSo3Zkp1xvF72dTDynjR7UxRZs3dNES81JYyJIcfc
ERRWARKr86I2FksqZ3rldj9eoQWlGHaLbNW0oQkVNUPVWxvOom/Zm/Kp5mU6+qc05ygdVHGwqGuD
tl0PXoDcerTaZUedAuCb3HiruoLIDwYn6OWVHTHKmVAZkiYxQsvHwJquJ+GiPuxwfTTGUK4G1W4X
TQZpwR/yZKvSAwBlEWfb/y6bX5fNX/abj0XzP/8nD97St+avTWf1Q9NZxbdKycv8VkMYACj5e9MZ
IoALJ4CqmAwXIlK+r5268QfIR3CRdJWphefp859NZ+2LpZVl1dQYI5v/jlQzn9m+t5zn8bYjONgJ
guVc1nDx05kudujn9rkbXxBXO5nkl4Ubo3r4sJ/83cHR4Y385VkgeZFRw9mDcwafwceTY4XcHHeq
GV/IIo7SZeEI1HBuPTqEw2nJKtbJayoYCh7tgFDstgxJspvQPDO3vaZBeZVGzkYzw+jYC8HQWVVM
T3VaAh7USHgiCHe9lu3aLiSKCcJxqx7F1F81o3aqpoLMZv2MG3cvYrrZWUfhGYvKXdvz8uK35sjE
231VB6ItrCTjh5I+O3mL71SZtElzi4RNQIEuWW88nk6xi8uF6e6+V6Zs4/eDvZRKQxqpi957aCd2
jUTm8Mk0497HKLmxU1N/0jIFlDCA800kktBahRT96aoYsVcVhUpagJOQ/xm4pR+T1ZRLKGO6cwEN
ZmRG1LJsDZYThgupl7pzP2kVXrJKSze1MlnmRi16khXg5LLpViBPMjn6CzGYytmpNOXE76df8+Uk
gVK+UPKNw5hqSb++ZhPAolzbDhTl1Ej2LdZ855Lna/Qnun52c9DGoivYRvVrgCbmcBmqwG6qYHQP
bm3ZeyJJgkdocsYD0VZ0RdMRHJbMW2PnAGSocffNjW6HHdnyRN+4hJqDibHw+66UVszhWgOR6XSa
vSoIxl2nmR2Q0NZeST5zoqmn5rlBoTCM+JfGAfOYW0U7BezxCo0yQqK066+njmGhQAHnFqp7Da4A
gnVM3LkzuiAuygyMRGJgTFDxYkcP9Fm7I19dBycnwqckUSA1mLrxPw/R3pracAV6GDuMTFUvd33j
ogk7rYPg22yQkG97g35mOGjNFeBElR0mO+EKOHV1k6+zOroyCnPnhG3MjCXdEmyULANdXBJvdiNV
u7sjH8N5J5QHUUWytPrBei+ilpq7WSZ+pd4KBbiSJdeKViQkrKOgdxh1DvRdG6t8bRr5lkd4dOPx
Hr0SzM1u7w7ZmgWEYnzaGIM4jU7HoUBusbyjn+doU3cvwmzRPijrtFfZfxhYtONn8kzZtz77olWX
vZUSgmdDcE3M7tG0opd0wqRkNUmzZ+wdAMGejlqm0RLUThbBjH2bPJZ8fY0Espo79srvLKBQ9EHF
9Dj4zSrIfG1RiYqjbADxocnFLjZJYVUhLpu2fcl7vDZbsHVDNAWIHPzGMzoRnUJkx2A0tCuZwofs
K3kItIGLWaqbtBqwyPnsjU42HlxuIkHgoubWy8Fxjk6pH42heKCT5yWmfdNqwVVelUd4IoxL3COm
mavQRWKhMeTgsE+1BOV55OgcA3X22hq0dFCLi0RJnopEfQJvvSeC74CJYh+36tXUq8tUIxEoTU+m
EXtVWo0HHHXUYhQJTjh+rhJ7285B9zVdY7qXWAP7vVNM466a8nwvneI1GyEiKWGeEm+d5ktz0JNN
5ZYbH8X/9TQq1frXK+/fcBRVh3Hfl7wvGkP898eVNxzVrBmtNLooqkRbdamLQrQbk2WWdelRZgCU
7M5fB0WYUTVNb2pZNVdVlYhbZ3LSRTEM120dH8XgLxPXfhCD3FSh9Y43L4CTTdpQEBOmjixlXUxc
06kfeYWPpLqnIIULDPXFduS2K4qX2p5aL4qbew2246pTiVwhOL2Ale31ldcMO7WkFSL9fKPG6FeN
7jLVik2T2a+YKW8Iv9q3fnKYmnRftQTilgVjMc3dyH4sls0YbbUhNL2mww8Lem0dGvEGsbK9bERz
bYyt6pWhtRehy30Nu4AgLJVAnHq4I63PIMCSgYw2Ytck586rLAuaY5ScunK6CJt4l/TmxsThy0SG
uPUvPHennn1twRo8yMoMymMaEEdp5xD4cY2mbbZlXwPRXhYT+1qzLuL6zBDgmogTtBvQjpcWJ3na
1RR7dX2JkatbZhNKq7qO7wj/wx88RM+usA9Rx8U0cIE6KIeSpHpNKrFRywzWjUqvCauVbnmci7c9
65DeFK+Fax9FJWhEuMqrr1rTotSqhUXKPS7CTMWiNK9l8hjZ1idNpKDfaVo4aE7GTFM9OjEJ7J/g
rE+mimQdsxIRAc5Wy+L2nlRKpq1RVZ9SKtndry/Vn1uDs/4fUh5T71nCzhz8xwsVNUcP6yeLLvx2
bhHsa61d/PoZKJk+FCH8SsgCGEocCCKz+nZmi3wsQnQLbKhDaMNFSltEsc5RG22j8pr0CK6E1Ius
au3Gq18/JwfQ3zzr/L4/yNrbMpGloSvKSYz5DcRTVH78gV3xE6e7cQ7ZjD3pmA+Wr+8w4SU0hjCD
pnkPn09D0p3X06dCsY+RNIQHpI3pZa++OCG+8kzEdwQ/9ssgod2UGo+Wnwx7NUUxwNWUF6t2svOV
UyrVUsUe6Nn5OO7awdZfijyWayIHdAys0eeUa3VVCStcsgKPS4lRw+NIfdMacwqrktwh+dF2WUCk
3ihfGcBu2ZRu4fCtraZvFpoZb3URKij0qFBw/TG0n1rhVZmF+KY3OUJFw7UW5jSeGKNVemAtTJf8
q6Z7r5oeN1MZ7WpD2aKnux2m+MEQyd6UBUqzOW078nW4RDLKuYiJEJhipn/VMh99+nGpIGjLT1hl
xUMnoB5EcXZywmGT1/2q8yeuYLFKZMDAnrN1ETPDLafYWdapf8L7TsaBTXIBIxUnGG5CUM2LAalC
K4kG0HUpvMmWOOkjMLBt8WzNmAKRXVXAWcAK0WdWQdJ1RDyY2KlRZQFrVu/yEZq1PxCUULcXJZaX
ZVyaO851b04lWkyEpPGZxiYojaONS/s3l9vvrvG5EP9wtfUGJYZG8PspPuaXwYWyJof0vt9MO0Jr
jxisQ+8zrUDUXaf8qf/dfOhHieu3G2yeMGBKALUzv7gPTw6dxckTx1BO5dJc5EfNK9c4BNWD8mCv
xUrcnRXv+NCtkIB0z/wrvRiPYrGP1v7FPNf9zav58WDz9cXoDBkwRlkco8yf3FGj6BEHqnF4EYrL
Uk8XkXiou69H33+0Ev24Zv31OWY9z4c3PNUZSRBhGrK5vgX11h2vfv11/u17AH6CT4A+Gi2uH39/
NpCcK6KKzVu5rGi11iY159cV6r/TNI1v65+7nsBs/obkNz/mz56n/QdOKhu0q2Z8Idl8OLe7fzAD
pXPJ4dsSX9qR38ViNt8TgvLv/L9vPc8Z8sfl6IKocrH6/rtzO9J1vvyPJ3dqOQelmqrhLmEo+7P7
p5lYq1uztS4gcGCnp31bIj90wspYKgN4MtJ8/Za9XkHSky4d6dvFaRRZ067aCEt0KE2Rnpw2EjAP
tIDnCLyGxp+xQlRhkBIAtEUjv2XqTTIGehm3wUPfZgo+JhGQF4rGSXHLXWPU5Pi5nWkNqHFsogbx
DAZr2yRhr4V1q4mWOsfQtzK3SaNpOmKWOqqTOkJx2QZKs/ZbcRvn2qnOLQ7E4Ev8UVznY1QvVBU+
AiFDh7LIDnnlH7Hq3o/sFpzCC39RltmmLXdpFvjIKGiNRlYceRBQ6TsOGKIjBx1w62NO7obpIbPd
S1UwWZwTjJW2YTzCSGHBzVcu+8zZk/bwqg1yWEZt90kOpk76TwqMW5hLcvkuUVuM697C42u1xA74
XSVxhU/DMpFWumRvh1dHFxUlrrbitDUuOTNUGLO7V8UYDqkSBRwxfIigvvo6wNPnlN6s6UNsI5MY
SXDYx9jRSm9We9OSgP5V9cemTVqvizqwG4V+oxhMPexWW/uJj68+yygd/XJnoPFaDEZxEWvFNS1P
z7fLQ8SWFpI3h+wMA5oNs65NX4yRwKc67JbIlBZdmmCmIV4bivbe8LNVXTrWYnaULjQ5xIs6LZK1
M9rKWtHliTx1FQXIfBLgZKwGwUObU7eQMRBt9BFzI7HeTD8pig20LWol911LHlEl6oegQME7JeZh
HNUbGQwrKIEdJ1qIYHl8HRDWFJn6MrGjmWM6RSvfHFMmV+iR6sQPPTG4l8Is7JVT6W9FqjZbtcT8
Y+bFhanCFg+JZMz15M42rfssrpAaVmclLEtiFeipGqkLRCSN13Ga3feE+Mw9n1bojwIu09KOzU3X
pzdDYu7yoAJH4YOoCR0OEmMTd1zoWnjglIPq353oqff9Q45ocxlr8mHw+3vVaEj9AudOD3+Th+45
bkwiJ52FYcqXAU4r3aO+J7g3ATiSqLS9IOvosr2BbJAA21Gx6I/BLmiMYFtJZl4WMapO8AQUMeIA
gr3DJWUIRT7gBEO0d10kLGDztG4KK9wrSrEXtvucTzA0RFBpnlaoNxS/sGmM27IRG0WHSQt9YTFE
+s3sgF46JB4jIGPoFxonSEOKB05uPUTpAw4K7Obq+JwF07DFsLBtOyJ0ldBxvZyAMcAFabGWMieC
C5XlOLeT0mFyDq4YHeI5BE75qZ5pmusM+/7a11Ls6EhmF5YCS6YZz6pqvNVEB2JPrC5K274rkOzv
kdKQuKwOb0nkXsPCshcWjH+YtUw8m2l87zuQ8F3HYdkPNMOjhekg8Z67ATYVsp+2NxS9XDo0OJHl
E8JUlNEIWqAwPaMIt4jwnq1Q5oD783xFNNmpNauTqhhv4Kx1OLxMNOoETrAp7TWb7XvdGwfAz1uk
ro+5HWgrK6x2tk5/qhzUg0CStXYGpVtqrXVtDJqxCxiILMBu0uTQ4pNK1wCE5Aagy4GG61VcA/RP
410oqxs/rN7lgOU47+vjWPhnSylvS4fkGn0cq4UIA4ueGuteHRXcuSmRA0Xbb+KkeMgL9HB273LP
NgSN+SjVezooXtT1924jW2YEzFS6vOSXR8njoEud23GAH9qKecJQeO6g0Usawwetf+trAtwxDkWr
fDQOoZU9DiOfqOq2N2kvNXo5xf0X0bzeKPeaYb6FgTQXY2KLBYbznWiKz65mPE21eO9ULoYyt25L
CC4Lyk99aaYSUh98o3WV2ZddnEBJ8FUA/L1CW7W7MJXkmrdKCyk8T5gU1qYxV+Kdoi2m1D7a9OaX
oSN2AF0jdMfOsDN680Yr/U+hzfG9TqO3jEBQUseYZ6v9lM/RqHd6zlHbsodpMR8jQcZ+KQ7+WyWp
FPG/qJKeX9/+TnM0P+rPOsn9gzJ7Njtrpjub3L7XSciRTPAKBmoxPOmaxY++1Uk2miPInNS1+NVn
Duf3+Yb1hz0b7hweoCM0+3fGO8P6UVSP5sgxHJt4eHT6hK8684v4WKQT9Dg2mlSDs+9mNP3ZN2VD
6EQ61qhN04cyQZU5oIqYonE/50Ft8gxhRNFuhaq+GUrHLu6anB97skPs9DAQILKY3JgQ9I4ZsqJc
zada0ndgADlZei9cqg4/ct0VSonPaku4jnTaC9kGXqd2j1aavavcEyZKlUUUhE+Wmy4VWqz3NDzE
NqfHFWS979k+6Uu87GLdttT/EQVXoGqPbWrnyypiftzoBlNJxTIIgfLfu755AwBqwboV1sopYuJF
6uimSMKrIcifJ9HfK2OF3tUKOq8w6XsnBOeZlmIu21mFUboh661dvDhm/Dm0a4ASLN11z1tsa0IK
m1K9VFK2vjQ4FeV0iIsIu2ttCuYK2iU5jZci14HdR6mk6JGDl9KD2VhGiZS76T/7TYzAQ22jRRI6
DCpRFMPCi2+7brzExhsudCEr3hL3PxHuN03m06BUr9g+a7ZuI1sq7nQIU3cfyoFqMBQshmGzMGS3
C9Qypo+N6htxGMt/a1KyIHCZI++muyYpEBYXJkWvtCGmlFLfQ3CN124yvDJEH/dBF6qeyAVWrCx2
NnrvKKsy0I9Wpe4qwylxAvn+1ajkpKVX0l2PAT0HN83cBUw+y8vbPLwqLGVTzOHfkU2rr3oaAZlu
mkCfNQMhy25gR3RLjbWNIRj0KrN7K0cDFVQknts5qIMg+yxBB3jqDJaHDp2t0pwWwpD5T+xzOyuo
y1OUlOOSXzouwVqv44gsRiTKq8hX5arLrWavadU17XFE9jg3l/FgckG2WL8FwL5trVFUgpD/3NZC
X5RNSyglYqFFnOSzu6Owt1GsUfKMzglvn7t0BuutLjvYaSRW5T2GE4Iz4Z8Z8bAMuihdlwHTO1Wx
bvJQf+pscDQRneZF49jpVpIO5jVBf6OMfrPz6Y3bBpjAPsNFjj0Vy17bcRm7NiprvJLENhpbJTMf
3Vh7oSe8sRWUe9rQnBTOG3zOFLFGny+nsHoZXagKdm9X9jJvXOuKelQae3Vi8kgbc97Thnl30/u3
lM1uQLa/1hKnYMTETjiyJY7z3mj32WM/75a+g7AW7GBLU2a8H+Y91Zp31yFS4H+z3xbzzot+/MGZ
9+KeTZnKByvivE+r845NRQDbct7FgfTdTmzrtVUe23mfb4v8PWLj1/Rwl2vOoXNIzqEwmCgQNAqF
UAlPYq4cgEUG1KoMzbLauBaF1ZE+R6WBXv3gzLUHLfNd8aUaSXjhbrBFI39ARvFuUbZg0pmXJmNV
+Nm4L5TxWZtbYQgbTRTvkoPQ2Fn7aJJULsHgtxAapXyg4O2K9RCWRMOFSl3c6H3b3NPw75nfaGVC
SdV09Rb5uPkUJIW5l02ZBpcpaCVnJyvFePIDS/NPsYl7OXMTuWxd/0FlfrMyB1RvxO2kFPMGsuQi
6VZ9jMC557pbmSWjEa7Cx9ZotxMhS0iyoXOhDyT0Ac9cT1jEgjzeKwep9ZDjWSFRekZXZZepFdCM
JLxqlZURy1OSaqs2iN+D2r6qoX1uld4k6qwh+WBEn2/PolBXMnXp7isTFih38cbxIRLPgYCVAK9p
RIc2GU2vLMUzDg6K07wHa59dq72aelL6zbbi8Ma15p/HRGjeKJOEWiYmMRBNTbLLC47YjZ4/20UX
rnQNeo1tRccoiV80p2c1GDgJaOu8GmeEprkhK5X7MEUGYyvJrRiOOdPVLNk6+F3zaUNPeqN0zhm0
WLTuxvjd0kMStSVjB/JC7DRaqbS1FqoDmxxRI9bUrL/JJh3Qoc/qV2dZwHGoRCKKynMRaxG8ZpjO
IwgfvROql/WoQzSruo5iE41SbR/9srosGkHKSQ/CwcXoW4XahRFyVDEDZW3WdeO5dn6fWMB3supC
sfzcK9D8xU73Oe6tcNMP6aFHrs4xWx78cnowKwflSnQeTeSkmrT2pU+oYRuX5DiKXdk4T2geODgK
0pQshUSOFgN7DgbeM5lF5GO6RIZ+wwGOM7hmvFkdsaf9xGKrO/IQY01Y4NTmsDoO69qq94Z0OFxH
Iabf2t5BGWZ9xiKedJh8lOgm9bPnqrV3GtqZRI7HrlDuE52vWjhIgNpCstx060wN3mLX3Zp9sSsU
fuqXzjtY3deyUQ+Z9l8N+3/slvP841f1ZB1xPH/+q2JmftyHilKng2YjJwStYgn6yH/aNAWCdEKf
vtg3UaV/LChhnIDGpNz7kpRBmfe98UYZCZoF5Ql4obkM/RdiQ31W5fzUeDNchklUvDrqHU39qbMc
10qi2ZMWnjOBb5kcbmk+DaoInZ1Z53lwWbAK7ae2sp6s0OhpCys5Zv1+UPrHerKbewx5xY3rRibG
Lb3ti7We2/Kh0VuVtZkCjyNnjFU8Uu4R+CL8CIiOSTUtAQBqXTrkG7SBem476zZIx+c+mJ41nGBw
766txslWpCJstDSLztpITaQm1mro/GWr1HvmG/BDG4zwQd2RiirG56SqGcj0OPMZlzcMNHAxkVGc
ErHtrEkxHhbK3LYzW3dnBHW96Hp/W2acfDvzOgODukx05rP+cEEPAoZipz5XeXVT6tpT6MRgOH3o
ijSKWsyY07RxIjfzUJMwozXM69iyj53TfNIy4u6sPD1mdXFoQw7zla85S6PBRGPUASb/HldPOSXX
XVUSfT6VJ70mPmfKWQjrmbVQZ2PD2XO256d0TqSOpGTIg/SIYxgDQPlJtzilNqooyfes37CAjpjh
h5QA5nabNvFGkJCusoPRlYjZJFzPMIiN4ICyZnnASQTSmBelEqzcOeY2yvmT0Q14ddziPg+TV5aq
KwcVuVOmn9UkvLUK/KdSxsbRxyIKRuAqKim+O9Mm5iqjdRkQVRHMGJkiNa5Dy7oFg0gVa9qvWAwP
JNdel6OD2EE47Aq5bS+oxGKCsYZDHqmeFD0chyLfpJGChmHGbUv0/XAFMJI2zJbR/6/ZzVZWCeLQ
tHpPwTm6CIWzNiq7u2jnQtkeG0cuamMnEyu7RxQzLOukvZo63P2mHl7k2Aqgp3IYj8f2rh7jF78D
XmuFdbvA3bG2a+cBU/Qn2w88DWMUbVj6svPLEN01joV15U/nFL8sB4S1619ysRYXRtceUze5BBj9
FFnUZnlCY7EeIGvCCZY7gW5eWlx2qhkfC61YOtAF0NA6Dwp95YU0SeNS44GM0zpaA3+8MMvsrLv1
wXCty66hTsQrwOjbNmhbVk+GomBe1O4ymQaI1gmY6qzzODPIYR0cFBfhQ1ex/frNrRPbL5YynGqr
fdP87LaRNoY5OO9dou5EaEMMSl3aRAXfAxrK11TtucUmBKTOkMIEyK0zbx5keR9+qshBX6giO2u+
esmwb41T90VRfI9gLwLOQ1yxGQ5D2RYO2154sDOZP4SWW3MoBe4Iwzo9KGlbeuZMCveFZXl2lj2j
SE1WckyvVCDMqVJAkmNwywTZ2LrOdExzeWpV4uRa47G3smepq3s8NTCUaUNhMUh9dxcCY28IATN0
Y6uXoF/R6dMRs4wFSeb5eqTPZ2hzjo4KYsUM9y6k6EOk1vlVMyR+sx86dZa15B02TH1aurhttmrs
PLQZUWhBkamUVWg81lUq5IbjADqGvABKPxja5TAaBJdH6kXIjeXxnZvnHLQs1j6SMqhjh4epInKX
KN70EBu0ZiUfwapPlXSrYpOj3U8UNjYeP6DTZclwKxUd7TJz5RRls8DDF/vJf9s+X6kIs7fvn7fp
i+fy77ZoHvNti4a2NIv6UK7aGpvhjNL7c4smCZZBFyIBVdhfIQvfmj6QFCzIe7DJXcRI1uwV+LZH
O38gDXX5iU6IC42af2UIgOr08x49R0lohmpBe9Ro/s6T1Q+TWSgCGQ4ZbTqXZcP0HrLqonaRu5fm
eKfG1cYPnc9Gr1ZLv2xfROuzGg3wWgbj0Jh+SrdeuXO7ainM8WROJWkKknOknxLbHERni+Pv6DuX
Ig1UDyq5tqp6sUkG99Tr5rHIio0TuNs21s74zIyFg7fAqwP4TNLqbyyTbCTuzTfFypHLu+RXdUZw
si00BwpC9IVTkY9HTTEvvptMj3bC7Ama1px7AESX8I7PpitJIazzzj3qXUplPm78gWJ5NN2rNA5u
Aqi4JOQy7TApJIK0EMtRGm99EcSnaWrL51zyPKPZbSalBvhAa0qxoB4riVhjSoB0D80NBnwkpKcF
5b4VZEBqJfm6rWa7yySsvCg1126VvgSIdWbCHBtUs2mrOkq8AunVAI9tbQvUlz05fHPnPZCuRzDf
sjZSdYem9KCLNNoj5N37RFygbiIQ109o/yTo8NzeuqnUyFqPTi09AjN4F25tnJ3U2uU9B/liwnNu
Nia2edu9sBKdKOtceo30n5rAuY2Jn8d7rm+N0X/DMYJd2xhIfbWyZUOSxUIrqBoUw9gWoQ+PIsnE
LREQDZwfcwe6elgaQXnNOrQdaC16oTmb5Kem8oqo8XeENghW99kiHLvrCAryagqjEQARswQzSD7X
KlzqrlI7TyqTdu1WqoO5MVmFJoce2pHhUpGqWHf9jPJKZ6pXwplqZ82kr8ARvdcrTrIDdrAcZh5Y
h7J8AZI33sjCTKtt3QSFf+PQp9qT8PsaKAVwID9x99NMckDlv6tBOzQC84kA9mAopfTAXq6asDVX
nYPDsMuLQw4igkix92IgotMAHiGG7lM50yQYwt23M18iYibtdSAn2FgF8cfTsQVGkc1Uiho8Bdnf
tBJxgknAFQyhuCWUezkTLYje2sYajAsrMM420IsW+IUZMY5svvAwkmbDpPiYzqQM4conosPPnUju
3JmlkVExBRp0DeInGIOqVbSqZ/ZGFOYI4pJTGMAJnOkcBN2dcnAdcuZ29AA8Ij+6o/tReYEShJx9
xaselfcd0A+F4oNSEQ5IBxBEUZXHbiaE9NI56TMzhHjW5MpKjCf8FodGtV/tqTlAHL+YwI0EM3ek
KUxSTSGR5HUGBQ02SWlbB32oIY5BLVG08LoLsPEnAE00+zZRVsboHEpIJ+6MPPFn+EmOtCjqqGpl
kl7Bl1AY2NWPpSIphUGnQPC/DE2f7EeoKnpPBxTKiqJY26npSXefASxiRrEwrlqksFlASO1gaZ0j
QEWtwbc+Q1y6GeeSZNOTOwNeMHp6sAmqmfqSzvwXCQim7acdqacvmjmrD1WVGgtmTBnFNzI1X9yZ
JtMOWIHyyr4PFBp/6sycqQtMe3ooV1nFWggULcV8m9NUvPjvoOWLm0T/5Y5785z/z7p+zj9Hzee/
0aXMD/6w9WIVQRGEbQM+6E8QI/bcb048dbbpfdt67T9c3CIGINA/H/Vt68WfghObwGJim/61LuVH
SdTMCHBsaEgm//BLcbX+uPGaKPKc2K+n8yQfKscnLFd+rcn+UXT149aOkIvfKiAkUUm4Gk8xv4IP
WzuLhVUOpa6em0HBS7Y202jRmK/dvxR3/eV5fiohCgUtdB2Z6tnEwazWx95+/VBTXX6V6nxkqWvz
b/iu4PnrO/lJ8hqoVa7NNMOzNmD3MO5s9531C0Pw2W07eonoPbvHEsJJdCk5NKrRWxySBXCpFVcy
Z5efw+QPlhmw/OfQstHf3IDCWA6cZn/9Sn9qefz1lXJhffzMdTgusq/nz0Jf+fjdqvKhRWqNkfHc
49rnYEKT+d1mhFvxR8eKfqNr/ELH/PmjUlXs1IKvf7Z5/vgCEFeqEpLKeCYXmROw6tbpMaHUlPAT
jar0XCotEnccdDxDQ7+iv1bT3sK+SYuxE8rk1WaFibvkcMrcRex7V+JbTDO6D/q+90WD7EWJ1btB
z+KNnriIOHyOx3kcE2RT78qW0KWuWqtyXHZy3ITTubOiFS7CRVEpC4QbG3IJLjPtEuQ+iqZPjc95
CI1swA4jUzrV1rLD8qTRXQQx5tkTZ5a4xG1xi2ClWloAhSbgTdGoei0xN7bIVn25HatPTUzEkELC
cp8fVGlcxfEpHrJNB+/7jqjVRalPOjy8W2lYSw5Ni7ijjjWjwIDUXjFocTLmAkn6KBmkZNmE4cf0
cXkExm9g8V/QDd+/ob/c+MZPtwuRoU0sh2Y6i42+9XfTUT7oGwJlzqS3Hskr9eoVMzlvXOvevt5n
62I5PCo7WH0bsbFODLS+gnL/cZmYb57vr+evl+xPam8DB5edzZdskeyKhLDlZU2pt67Eb5aj+dL/
1fP8tOA5UTalYcjzKMyUb4fXKsAE6oENsPzf3ARfGos/P9XHm2CedH9Y+VxeV627kXYOdS++JNyo
HThXLPpmBbIzOPe/e2s/ruVfP0LEjAzvHXItTfenrzSzssG2EYefe0qYfHrplMtfryt/twB+fIKf
PjuREyHZBZp2xv7QmvRIFYwg/znD/+OF8Lsn+WmVdQfXYqrJk7jdYar20rqFF/fr9/F3W9LH9/HT
8jiyV9d1ZmpnxKQUpz2m4msslaCTvl5s/79lKKfoc100xbv8X/Nv/lyUY42UQP7vH//afP07qQkz
9/yHv6y+MNCv2rd6vH5r2pSHfv285//z//WH/0Ex3o4lJPXn1yzKl1Ej6+iz5Nz/M6ZR52L+54bE
ddS9kezz+vb3D/xWGqnGHzN1H1ijQBk7Twe+NSVmE65NUwKDDdUYsrPvlZHxByq5edZAswA1yken
rf6HgWDXAbKPWQ6R6r9qSny5Xb7fvvQ0dNoisxTdtSxNx/H74+0bajlugVZH6VpU8GqOSqqMMGtd
QzSZWJJTlLDva3pCZpkPCIr0mWmtopq0sevQLHNSkZ7bebvps0HZmWaun9r/y955bEeOZNn2V/oH
0Asw6CkAl3RBGRQTLJLBgNYaX/82mJWVTGYWuep1D3pQw1pZDHeHMLt27zn7wIbxBtHkFxnqlptJ
ZXrZAek75FFbvLZBO+xFNiQ3mjLQIy1iIhPb0XzzYaNsC83y13itFn9G1RZPIVuvjZ+foXdNaaHZ
6SYRyuDNaQ4coDfgDKvRfC0ag/XNDtFD5JOSMkUD3VMalTeKWDjY4okwDM3kMss6/1bEdnjdAUwN
b2RQfkGDbE+p5h1HVR8XompZTC7JCg8EH8je3EGiVTQF1+I0WMX0jHG5v6prxWJtKzDUekST9/LJ
MEiEzfSoiu+keNapR/rENN2RwWbtDLWKAEDvp+oJ+Zu603qgCDPyJA8roFOX095qSxwxuR56cl/b
+kVfqvUzlkADNz4pSpxJ5QbLY9XjA5uiXFU3k4INbAoNuh/FrF3PStObW9FjkSrM+LWN03BfYuCZ
jzqpljurAhd3jc9EWU+1ns+qG/JgDsfMTqdc2ry/CP/bS8LmrVgiDZo/LwH/p1cEXt9/vSIsByYv
egv+7rDEH/5zRTD+W7YAefyjqbgUth+WBLa0xWwGznux3/+xJMCCpQcp6CHSRGD+yMb4+2FJgIll
lYChgVkND8C/NUtUyJj+WD28rwlssJaqcmiysWcv//3Dlh7FcdiEJNYdccdxjteTipfW7Qw9Idqc
wZdwlX42GWmQSikY8ufYq7vCh1eUBwcVwf1zEi7SHJoecvUUm6miXA5KQ8cy7qcSSVWf22eQ5vM+
ULs02lXtJG5xPUj6TmnkWnJsG3Jf5qv+PpkMGdVNksTKTWTaKaDVYE6bVzsPjOFYqyXukwXz0zOr
e0P/jgo5j7qU3oPVMUJbnnb7/cFvq6ndaaloJHAiYTKvfHnqnmYNGzsrTShfCJQi6GYqqpacsNtV
ONqUh1Xdrjp5ii70dmJw5s8lWFjbt5+7Bm01ZlJ/ALCtoWxP8rC7DIX+jJPuify519hAMQWMCHiV
ob+VbfYGpQqDZ59V2k+Mmy68AVdUwbDLZ1lft4nUPQ1GAAdFyFHkDgn+UMvGB0gyiHWvSBG5tsng
v46QHLeIO8QOjEt4YO6bbROlNk9m1cHsK8tqQ5e5cOuelSVL8tHVrRIPWY212u7RxoRN6RktdMmh
8bFgZBdWZ0OB92vzOOn6vEs09OjgB0gTgz4KVTNz6gBykwqc3C2aDlA4/vHSst8YL0obq5+3qWKf
VdaqzeQPcEqbDA68j1Ib5MeDFoKfSYYZKypUAMzwCG3Q4rWg10+JOrYuBr2R6Ipl1qeb+irGDHqm
uZvcMLJWr0Ed5G+xrFGeV1F+j+68JpO2+plz6PrNnfWfVUulvPx61doXz1UX/Q1wafnT39ctlLMs
ByiZlppFoT75Y90SCpkVBjsfU5R/qCN+b/JY/61S3SCcYPTyD/zf7+sW5iMLW977P/ZeGv1e0V3+
VqJQDP7LippB9Kdla2kW2dqS4q0xe6Gt9Odly7TkbBy1qT5PEoVB6QjMLnQMcyumjR3m50jjSBea
4cnQIaiDqLiC10WdEMjXqq9dJ3X3VsgsT+MY7uIezqqprMFsHhImg1JPsGZOokUOIFaYuPe18WXC
3S8zHXXULjtR/639wDw0obQuJukK3+adOeX3Ok+45Ve8KxbZrha99XyX4PMIJYkJY6judCv8QRYs
BDr5CoHYqSPOmeiB02hiS7KN8UAM9kavFYK2gzud5FGJX7RK6+HFjtqjb3NardUnNWARbNt97hsM
cuyLXqtOfhiebOC7NlqNICxPHYETaoFfdBT3pqZvQ+Jo7WlypKQ4x0qMoU9ZYbH1qmb2QrmHl91c
hmF3DIbJ7UEQaeRCEsh7qqEVJPavhoThVUZYJBG/3X62rWcYQfidtPs47ndSY3vQm1DVzxspjj2M
/I5R1kCp0EX4Y3RebK6JSdJzbNzpTbadp+Y6s9qXXIwnycpPFGOH3si2OtT9rJ62XcUsJCh/mXGJ
ywb7EaNjNdCuzRBJiSWV29YEgaulwzHpTMlRJlymfvKsFtq1XRpuGPm0qDvz3EntIRCZNwf9rsZZ
T7bqdWxj9Zf9H1o23ZF2sTJQNDgVGaV4lzUn9OWKYXd1hFo7rI2hIrAZAa5XRMaziQ5sU1YjOCjY
ssFY3gvBapsN4wsiB4z1dc0muPqN4uU3Vh1vKXjDHU7iOj5r80zwUEx8rLrp65zGPBN8rx+bHQGf
8qaowMlIVnmdFG25zw10MU1F+KmSKuqRIMze6yeFLvqI74UdUXhUe/G1UARFskzHqYV0miuE6cLm
XPGTZjdH8uKSkWI6cYkDq7XkGCvQoG3JGNfB5043kTZVHrrfEXwsvpm5a0uXdpCAvNjcMfnCumzQ
eIpTcRVZIFxmaF86SjpbEreS8F8hqcA40c6z0NdanZwAYQ8s/72rpf4bU4ujFbf3EhV8fKy7tl/x
/+3cCuigoxrBKsqKK1Fgi+ogGzC+a8nXINh4Dok4ikvtJcAA6MjY4lALV53XaPYJ6BTJtWACbQlj
b691mdv3zAsSYb0Fpf2UT+JO1403vj/6l0Ju3GmCDwK/OXDCDAc2ITXMYBNahn2pbMu09hACnvsw
2zOE+KGN06/OlAl+sPaYdzAmSSQsB+GPaCZjNUurE3tetYZcQSetk4xjkfo3hHoETAeTZiXCXvU6
DcnUoOQPCE65ylX2UyosxkzjsCT8Bvk6TsadL6WbGKG+a8/941wwdSId9RzJ5kvYo9fUejw4Y8Zz
axpb1eh1/jJlNEe5JCqxRuVDvr0qNn4hHlpyjBHdmww3GTkGXUMzMHqYApV/XNJeI78Cf27j5Ora
F6mrF9IMcAlf9qrcv1fR4LoTg8dZ4JfXgBarnSRcra0hYtflbTiomSfH04Rzifs++v6DusCi/dI3
eb7UNXPqihJu4BWNkolpHK8lkRtQ0FT1VyaLcdP7AUpvKO1RghFsyKodkdUG363fl1ZzHjN0zLj1
sS6ouyGUT2Hb/8hled8OADxSCepRJGFE61CqJqF8MwTthZ6Ht8pkosKIiVCvY3TX2qB6xigdIiZ9
HAuTO8J9yCfOStNLzRKTVhgm+boemiB0pQK1GvZJGatcH+40MlrCFAhHLlvSRp5RgE45Fs+8yZAn
d2KPvJm6s6EUUsb0KiroO//nBPU+ctI40nxRi7TPgD7JS2r+2lRZ/vJDKbJwHZHk4ccx/jxvUqgq
kHGAMFOXsxCnqz9KEXkx3XBOMvHxvP+nP0oRzkHm0myxDaI4/005pvpn5AEHNYtpEF8BosfS95E/
Nd8kS1KTekyLc8cUdz4yeIYzpmhyLFYtkRiXVNU9E/BURyxWXXaL8CMIh1UtstteSQsnU7JDJepH
9Gn7tMmvowxJA/glR439o6XrR6TN6CnMYROoBEXjhjmE8nCP5e+NXXska1w0g4s8+koPaNhkWuyE
tPc7P0w8tHmOmrbxse0kB4IXPAy1z5UXZg0wJ4cgXQ9IChGYwXeM9iIxWqa3uBPJvOltA51zqcYG
lHsZQILRlzszMrNNZdp7g+hx7Vb1W3PBKA9xhxYLT+ehjqPmMR783Ot6NRPrHhsu6sAONyIkM6hq
tt4MK0Bekme/75DA+Xv4lO87Z/a+i4KJfek4jJJrnt+by1bbhgNHj2XzZRcufY6f5rIxx8sWrXbF
MVo2bdGgsUGBsKpmiEAhO3vh93eCnV6q513Lzt+bmZv3w06bcq+nMhgHnZ4sifQWNUOdimtMpc8l
mFhKB8kp2u7YLWWGSb1hLYUHTpTrvpN2BhVJ7lcniwpFqOhDpWFLPDL5Fdk2oJIJ7PyUUdl0Rf0i
U+mQebgVVD6J3aMGNLc+XjAjJAWtSsublFrJzFHHlfJmoIaqW8tTR2DB1FaZadALsp5tq9mnS/HF
Iinotf/KlWKlUZ1hmVgNS7VWstMXDanqzSUyxseaqs4kSr2kysupgueCkF6qP1ufT3mjbRuqwnko
jj1VopblJ+6lW8bD2qaKjP3i1FBV4rRcd1SZsR5vwIg8QVlZwys9lmr7EhSUpcutD0wb6SgipEzZ
WNSvyrKNw7Wm/qSFVsWn2hCU3oPbztKdTgWcQv2lNEOSl2S7hhrZgkdiUzPbWkPWSHpPLMpdIYfX
LbW1X+oHlVpbUHPLcZ86xqQcBqpxGmata1OfJ9TpPvU6KWRuHVLsUcdLEUR+6vqiySqY9fVbbYrr
3h6v6+UI4Ae9fmVyKoiMgeOBr3EQFqSl4gbbkanAKSIShcqRAm+Wo4/VWTb0w6DwSHWAPdO+kdzK
GEqvbOyfUzCegDl7WqaSSBFcjVVreCNSxz5NTU+tqqcWTppUqwbuK3+D0mNCFupjXE2PA2KTtZV1
t5zzyVRY3MNaSw1RzNR8BPE4aqaZrhTWo1v2Uk5xoRzxblxrGH84P8BMiEfuOGFpl3EpbRo8amUf
F9uSZA1XatARY945Qk3YwBZ1dZsSZEApxNPB3RKC40bXXGKAntxcay4QU9aEtzYXi3Bb85ODWi3B
XMMqM/BKCyhMQ5W9llrGzZglD6XH4MU+WXPAwq/01NoVbax6dYHmOk+YwPozRyEJonghC9sVIXrU
OCoPWZQiUSEOAfD1Q4sny0F9BJA7m0/dUuYm0U9DRfkjWWLrlzmhaBG+pjzur41c/GhtYy9B9Lek
Ll1ztipdvOVH3VagVWusAJmUMogtSQUUld85A5rnddxNh6JSBlzd0Rl81V1vdBwQwvE2MFCQhQob
vcQRz0rOqOsUN6zoZ5C9ifqOnFI7Who/ujQcACCkF6EOG+4/e//73r/kT36x99M9PXRR81/nF9xQ
f9dD/VAAvCfcCjIfbEEz31oEF7/3UOlFsADIdB3AlCJIoE/wewFAjq3N3/yTX/qhhwrblM4F3FE8
Gb91Xj81H75qRnzuoNLBRRdAOpfg32NM82koWuNMbihbgjPGNAdEegRN+MOl+Uf746NO47OFGM6P
TRwX/5BB28O03nU1H7u0mVLIdplO4ylIzB3NR3s9ChHXazMbj6MKHZrYvanZULuSZyCVqK0UkF43
AhMUEnbem6NZm3YDZMKvjl2Nn9HNOkwJR8OQ5HGlNR0BOzL65nnVDPKqKAe53CZhBpWDVsVmHCv0
BQUwgkExlA21NafcYkCoYCDhynvjMmaEsmFJx61bBKytCN7EKmA9kHAzE6x+A0Us/JXFbb9WlQiN
gms1srRiHqGJmIYg/2ulsLwoq1DLZPWmzUsMnZy1q6t25FtE1QwdQdEdaQwf1FIhwiVEXphy+kjs
ZKf21aZHLD90huKYrXTqwv6Hnqi3ld3c1Ml8APPxw9CJwbIMcv+SSDtUtbaCwXwIQ3inQZDslBop
aTAaFxjvoKhA6iIwcSNHMB9lzotzMe2xGz+WcTy5LO/szEV1rkG+bDnj47eUX0IDDFpYqqarkWwK
ilR5C9MC1CJe7KmA+YaiFcyyBjGkHUfiu1R/vsCXd9H70mbEg9dCadlQKNZepJLQORO4NETHjNbo
ylcXJl9Ybua53mH+vA7Btmxiwlq8QEpobiymjkbZ5c1Yr+owuynq9iKkkHCkSTZepz7hLFwHgysL
Yz1ipMQqEa2wmTBnQpKZ9f5uLCuCywgqBlq1IGQtmskWEJUg1m90baIeHTFMErkAW8u3Ba4FjYbu
1B4ro5dc9LG7PhlJe0jlN83ofhKiBkI8NbIL1WZldsJEj67K3Mo8qDoR/Fy4JXQgpb1Nw3+DwvOV
5KrdbEinVjHv2P4Xwr+xbOB0Ziy3U5XDnFlXfZ5DyRMeYItVo7CTGCh8h1RsLMgRXqVy4fXc3DZy
f6/M6DtLPfBQKj4xtzsWcqvi0Rv3qMQuZ/7RXsmPGblMswbzvJSeRYMsWhp3hTYfVF/a2uaP0X8q
rHmPUcBa63Gwqk39rpoVZzmo93QyuhZPoJYlB11Ml4EfKy5AYUrmxH5MA/G4HEEYZyoHWyPRYNDO
FQmgmRa64dyRwTZXa3wlt9bY3GmYVMcAUYUeBpdaD04IvtLCC46Imkh29GNTZ+6VH6UU3lrkvcGb
x4I0rJc+mTDHfWVL+5GsVLiuxp7RxiY12GzBK3tqoXQ7rdPaa22IwbaMF3osP3HSxzKsIl6zC7L+
hFqSo6qNyXaUMvFYDJb50FgFxcY4TT4OFj+5Hn2zoWWaKisNlJAjRW3oVVJCu2aJ0A3bCeuUAGw/
8FoQsKVHp06bcU6kdQ9etSuN5Q3DWkl+h720gyrfeplxzVMVGz8kOhOrvjFoZZb+yk9x7rea3fAw
E3jaww+6mKzFOib061aWa0etoPAFPVZTKGsXfTHdZGUyOPFQULuVTbBObO3BMG5i7rxXdRIV8djk
e4uu5tEH4b4aZ075HJtetABYv1FNIa+czT3Sb+UA/3ETT8kmmIJDnCkz9BH/KmmLF4zVbkzghhVD
teRgdOMb3GW1fAKWBCYp3vZx+8ushzO86ZiYQVyh6pA+kmm8Dg3ziXax0wEOxeHCrMUfYBm3TW45
sTkdGl/3pilyYyx4cSV+kuQ30m/UvTjvH3vV3+hai4k3In6m1dZlzW1OBlwB5r2SNz/0jga0UiCN
HeObMZ0OuT1s2wrKvTTE90E47aKBV3Qcj72fbcDj0lxLjeu2nc96YzxCLz0VseZaWn8/UAwqA3lK
5tyve42KfZRrl7uxyo3kaa6iBjCQsUHuRYWW0qZurQiK0MgkDQyKG+vGDYZ4rmCqMBzKzduqj/at
ire9iWQ8iCHdWiRRUpRf0gxqt0Uc3OtTRYSyXG91oJAsNx4dvqOa8+uz0DzAEQDHFOyxlD/aJfGR
c+GW1GwAZ7dJxvCp8TMsQckzp3EPk9a2S+fBqTr/WW6TPdfai2YCfJGo7rVuumpKma+pNVCbpW2t
G0++XO56uvsAHW58yJaIKOY1gcKczqPwUtbGX748gKCZ8ydZo8gVc3S09ZQ0xeo2y9uZg0ix7TFz
bS07mw4KGJpYiAO5Yk8GcdNyTVOQBJeW5DJZIaNVGy5lgVkJ16K6Sqz6IYe+s5Zk6yzbiK2HvKoW
HTiC6RC6MiEvr1EqZV4lB9LDUBo8L7OSrsA8+I6qRenPsY1MT6hZCNYG6jhsCv/X10UIM+yPMjNK
kKVfIgyqEMILSST/88RFSXSFGElfOsUwP5Mfif2i6b8pCf7lWOe7j/g0i554io2k4yPkBYVF9748
j/E3iq9PSql//AzY9dSGJGeon36GEN2E2jwKzvLALm+iEj6M4y02va+v1p97QkvBZi/eJIEC1ICP
JzM++1iwBUU8qWbSB+cuo7lBz7kRi6DjrtMuh15xjIamp75//8z/jDSX6d6XR4n2+b+c5/rl+e9I
Qcsf/95J5CCBqIKwA7QO3JPltPDPg4SMPkvINoBEyIlIfD4eJHhdIQtZxmIPe89P+L2TiD4LRRVx
m8gnZARa2r9j7P7LQcJGJIJ1nMcGvaPx+dFUQ0UaWmqDU5g9zc1pHB8/XJa/O0Z80m/SqaTbqYEh
gmokbBJ5Px1VOr/RWl8fu1M36ytmV7/QLp9SP77W6/ZXC2aujuvIyzQVdZKU7/BabesqXnVmSfdP
MopNMaib3Ky3UgMysQvXWlP+lMhAAIJ+oMc/YoBiC57D9Kz0ik4XoW8r9RxkHBY4yuOL5SJiKq0I
+lTB8mGalvUdcYQ+cyWZMO1l/UJrZnrasqiRL+A7+HNTDiiCieqy+MXLMmgn2mu3LIxUigFji7C6
UJZlM1Css1kSGpayotrL0qosi2y5LLfxOCiOuizByrIYT3V+0bM6M/ClchOevSzb9EKrbcpKjpdr
9mrWdp81njxikL5AG2dWf2nZBojP+ZUl0hmYGnHiwEHWaFBIl2xvTNTSEnuJWtnEkEnbvOz27bLZ
QGS8GhNI7ss2FMy1RxzNvjLNZ1/BNg4aiOgFyeuS6LldtrLG1Og7WNs0iM8Se52OfBgo/WPDHmiz
F2KCOWjL5liL/pjihDXYNeuy2hrLNlpoJPouG+ucpJf1stU27Lktey/DPRTrUrzXJO2WfAFycZaN
Wp21m2jZusNlE+/YzadlW9eXDd5np5eXLb9g7++oAQZqAe4FvZ+c4xwjrf1IvWBTN2iF6g7UEQb1
RENdwTnrOlwKjY6Kw9T6Y0gFUkzDLhjj+7BnKJdRo5CgcCAE4sZYihekbPeCakahqiHlbF1Q5Viz
vpbG+ongIZqwrQ1XsHks+PG4f8aNNM0/EyqmCW97TQWlJuOhBP+OHT1A1EcwGuXJUnCZnJCowHgL
gBfFj4Hv0wNv2ngtdR2PTfVronqz4KlrVHMLH0aiumtAwsD8jxnU2q6spy/zUgcuBWFIZZjEdQJq
jmJRk8zbkOqR6SZlZBTEjpxlL7aSMcNfik1rNnXS2ilAI9iYnlQqvUeZFFOjdkuxKomavMClgJ3j
4UamopU6SluxFLl6NVJsK/r1uBTA3VIK4/VK6OerDUdoCmWhRf5qoHYOWoroiGpaXspqeymw66XU
Dt+r7v69As/eq/FskhiSQ5+PTuNSrlf0eEnh7ZgXEMDqwphYyvoi9DRoXHRsJXnVzhoy7OUgUBBj
juCoky/QOy3ZA0S9VvVFyxCz1Er6DGhAHVJE6EOIqtlyjoxXQdQdDCUAVpOUMPYJU/LH2V7No4C/
oqXlqmirAgFklJ5NlKb4yKUGGgC/2PfLV32eftS++mwm1Zb1DWWTQu4n9DOImtLBZwa+TMp16nkd
vREJ9zeFjp+RE6af3ndJfj309eAyKQKxD0tBEHYaa55qKp1XlPkFOCcWRIUvbQ5XeacGbknDnzVq
H1T+NlUXCCb9CKqFlJZGqMNNSuX7hCG92i1mDj/d5GPypMW+7jTRgiAjX1xpSSTwtch8KQemqvNc
NfBJqyG7JYZxWPeRulFNYBTqDH8wtGbOD1FUH2crOamC/ovdXCmVAbes4dSVocUCheux5BGm6HdA
DfGFpFN/R8PnNhOZ28GzTcmIJT9kGtrMZs3p9oNsFE+51jL9iSRo5yFW3K7mNE7L36tLQzvT2KyR
mSbkD/dx2G9yhBEblv7w3q/4BNGltzkuYKINiYvtpjpmFBGccls33BRV865LiJ3RCvNWrwoKHS3m
BJ6JpoL54/trBIW3hj/dWrk+P8x+HoEHwEypgxBxzGFctxzqNqXc5xuiaKBk8YdO3evdQx2l1nq0
pmheMt1DdqWw3WooF5xkKNcqXAYynYvHZSiVQ5sYTVJ7m+IsT+Y+qaY7OYxXfQSZtijDuy4Vt1ZX
2aS4jD10nbj2Cj+d3LLDi1vK8qOKl4ypi1Y9dEapeOB+QfeEPOhQYXFF++qDGO32xhf6uLY6+Bwx
QsHV19vzX6pfKISGQqlhmzp4IGMpKT8oMUWWGaoVxPmpTcCcjRDTjeFqqJv11x/z2fS1pBDwORry
OrzuvPafi4DWnLME+eYpI0ikMcQdq9KllWVPLJeIlyebGzCl234s16mVbBsRHoifAUaSX7BSHXDv
oIpMrkK/uzYqeaWGMGNsnEqB/1Z0BsNzXgFtJjpIDp6//up/e4XQwZuKpunE+jHt/XiF9KwrotZO
8tMA8TSYbhepd1h84yN6j+r7QyW/lO7mbycd9PsMkM1P94FjfDllSdefyiAkMcnQdvRPNHqAFftG
3+vgqfsHqUyLq5zklwmg1GAN2LAm/OO+CmAtztahNHdXOOvsG6Zvblf0J2zXnC4LkLG6iGlRFcEp
kqL96KOMGATvjZFxIJkY0F3rSvqctClO6iDazANdhkYhrymNEpIE1FepFmuCoTqXVckg9NRW3KJS
N3FYJxCjYREiEyfwRbxB1H0eTR3xhbwAq9PjNJsIM81Jgiw5xEc5LDNnHiGR4W2LvNCOTU+Jgh9+
p2S31UDfzFaCg56V+roB5LI1FCINCrY4BWf1FJvJqpTFGYkxGTozpi9S4g++/Nxp6043d6yLj5aU
wnkdlO0UawSV1+EqL3PyQHCGq7SJZo3SY+Q188yAiSB9p23dEiySKeMeLf5zEonwdUr1jWwgYjHT
8Mh0DAVeU60JLEFVIsbrjPhO8pogkhnzeFGZzTcuLtRRPFWfnwdeyCWCeBEdLjLtj0+dr0oF+UJ6
ezIV8azaDaqcsk9PhoRGjfX0KWgwDuVN6CrGSHhuWjusqEeuyozrmkQeuEZHfPjOMIujXlgPqpaH
6ybTq3XXyQD3dAGdKKIZ2lu9tZILLduix4UJrkSVh+SHeoSFSM6K3AXVfRNk0egqYUPzD16eg5PA
yZlzGdmMJcd4thcHUK8Upltn4s4QE7UzvX21VTyjgCDA4J00scF4iC1jN/jiJ8haSOQDy4CdQoUc
b307Pph97VYgvw194gkpnW4SN3rfH5M4vKki0EumvTGm9sFKEs2hbpRXRtVRC1b9qunQf1lLlKNK
PpSM08NTDOlZ4plwS1t9VFTpQQlBW1QtxsHQhEMwAxGSxmKlaPVGZgxrw5YTJCuxG3mkGssu0bwX
Zh1zSXrMfAz5MAzdqkN5soHzNtg01EF+rfBQ5Cbwv4nvSa5TgjUdz/jBzI31UGheaEYgInPTFXZ0
lZQ0zSdrXhXNtDJSvO4lBU1hBJxLeBl7yb4aqvYXHvkFCog0qovXbduRVgxCQqCQVxTjYDSEqTHl
RXNHJKUWzPQOqVCTDqW24q8SomihNy6Yzks91OjeF6AgpQv6+V44MMZU0kcalWtiKnPwVpqnKOya
qT+sW7Z3fP7QoqQq9tJE2sSDdTHHyNdt0m8HhT5+A7gA2Zayjhmi64N16VvKNsjbi2CoDrmlU/W2
qXROy8XGmZp7LRguSoGHH5Y596bExDrI8TYsh6PUcEpIDWBg2apA8uD6w6Whr0y4j4N1ysa1Ma0L
ZINmf1/KYCkz+YisFkalrx3IriJNw/f9i070ptvoiuKaMSFKQz97JXXDtpjaxpsM+nc9VYhZALYy
yZ7s/Vr5Zmv75k19d4h+3EFDe4rtMungcYDcb44ZevixX7qs56Q+KpxYvt6PlibOFyvD4iD7uDKI
EDdEnrEyFMUbzIZ+RGVwyIMHJJZff9BiAfvLJ6F/0gg1sUzkusvO+OGXDQ3chFjuwZwpE/mj0di4
kS9udUgcu7DAWZuM/UVZRpiUFFk5WhVxbEZc4H+IiWUd+HddZiW/0C5djbnKZEvtfkhRcS5k8yal
fOPU47aNuBlp4np5G6yzNnrKY+1eCtPyOugYTehhCFFJ75bZAdk0ympSIIVQ4m3yVjXv6azelDPg
RFXfd2q7i1SBfWPa6aV9HpLgombbBjh5kYicl0lauO7uWCr3WVmvotTfDSU5aOkIt1HPoAVDxEyH
4LEa7fpeBD62kEYNvrmqf+63/LbRf7yoS6vww0VNDGZdNXjvkzU+hfPLZP3Wj/uX7czv/v1PG4cs
oXWCFzqdIusGUotTqXffPBZfPxXv4OkPPwB7bCInIphOuriMYNFxmWT0HF9/yF8bpuQqaxZjcka7
i+7/z1dpNBuayRq/wobv3762Q0ZNcheN5jd3Q/z5GV+aUzoZoLrCVmtTmiqfPmgCKAxLsBQnyphX
NjXvNl37nrTqnci9d3Lnfme4/eHlOnLDH+Pqme73C290s1V3X/9gsbSAv3it37/oh8tq95Fd2gHL
SLvuPdI9V+NNt8muwrW9st20XisbrvMavZGDzGxlI7tZaaf89etvof/dt/j4dH7qIKd+k1oC1Mrp
YdyJFcF0a/vSdM4NEnVvc6+7B8PLNvYpXI9bYr22t1iyNuOWdc+ZN4XtQBZ2Es/2pEO3zTfNOSQQ
0Am8H4XTnWR32ug7e1dcDNv6LlvffP3VP3nK/vpifaqgJdFEKaGEPJcO89d181auy1vFq1yiVbzQ
g/q/zvbF5vL1sOp2usuBPd4jUN7Hp8Bl81mRd/rTd398/a3eCQ2fb+uHC2p8soxECHdryLjTKdzZ
TujOW7JTb3MYh6iWHQa2Tu0yqdxYp2ornmikrb7+/OXx/evH//EefVptWGqkqSmRcMhzsTKH4WKW
klPfycU3m9Kyqnz1OZ9WHeR0at/P6XSipgaX+SqP28F4mVTy1XBrleuvf9Xfr3H//FWfD5MSsy9V
r+LuhOOWk991GVz9zz7g05lPHUFuGRkHKAJcREwf0Da9rz/hmxvzbjX68LpLWWnl5sSLVpQnzGzr
UjzMnfXNXfnuOn1a3BoFymdvxu1pXO4KJGqGtO7/7Hd8esC6Ysau12TTaehHsgRPWTICrv5mfPbN
02V+WpUMP5AmmnPsBqPhana+StL2rKqdC83TjQdx6oFw/n/8LkR8mNGIcbC1Tx9JeIPql1HbnbTs
Vx2vEzWkybf5+jP+9vZ8+IxPL00a2I1Uhdp40mMiZ+SrLPumq/DdB3xaEqGMj2pcVP1JZtGmGZ0Q
CPf1T3jfH7968ZcN5cNzHEYMffyU55izgYMdd99vkyNHBGgnbrhiEvltwt0i6ftyrVl+9YePVOj/
Ka0I2aMeaAznrKpHIL6VMzyj1dn1zuVMVA5bt74iWcCxriTnul0tu/rlY3Wp7jm1g0lbTa2zzd1w
810A399u5B9Ll89PTlQPsuLz0innZSOXHNz/2i5XXCfZaN597uwh8l/8QrgFnPFuusCe8s3qJZbl
6aub8um+91JjhJU9UUt4ZBt4JFEJw7EvUu8aauBB3XTeI1FFTk7Hdo28fWO50jcr9Hdfwfy070kj
MQv5ULYn6aJwRnI5nfinviaK+qJ7G7flKjuYG5IjfgWPqjtuknPg/T/2zqu3jSzN+1+lsfclVA4X
u8AyU1mWZUu+KdASXTnn+vTv7yi4bYn2rIcChi/Q7IvBtFpF8uiE5zz/FG5/PzUfL16/GQXr1TyJ
UALoVcrULBf9gjywSSCqunU0/diu+/UaMdZkPMfU7TMpvrNkkS+ty2ZSzpq5v+4m/pd/FVL5eDF7
83n+Xu7GqyGxJQdsKGVLKeb60lySn9Yv4BeeBifK5N5bu4toaq/zFU29035q3czxYuJPVC+jxXUw
E0XCc3HwD3RvsCB+Dd1/bOJNyWR67cUifus7Zo9xHAYKGuxe7gZAO39j9sD5XBSgBBuPJglie3oh
/xLhg9O6JeOiIHN5EU27F8weXjCMXWzikA1zpwHp/wPyr2qLufL3XDJk3BkcxDx8BkgDkI1fnewQ
auUiTbLmfIwz2qyQsxD4ckRFtYWGBvJnGUPLIpaawK2zoLS7maGQ5FOm7SWw+NpyXPYlA3aIsHut
pOCE5PazwYK9lKnBtSxHD63cRojWWhpiUpfQnFHPslGQx2TTmyZVfpH2MpQt84ta6bdO4aFnwZJ5
4QqhniONixgXaoikROOqCAgtT0KLl4efDDv9kg/ZTetDSs0I15i6pvmpxD4kJTaxdqTPGKMSzmVx
vgdnbeSf1lnwpcrsZBIQnFJqxn3sePY84YtNhhhDAAhO7OnZXTIAjsCSGnnsEBFU3sGK6m4Glbs+
jjALXR/rmRpqtA+6ICYjwX4ofESOlHqnVR1/7FL8am3PmBuR/SELnIeici4Dg3wvtQAzlr2wnrtd
d27n7a0cpfdund25BSZOWXqPNSBxMlHpzZu0gwZqJZcIQ1cBrXw99L7EKmBoHtu0V01csLs8u+8U
5wwXm3qWDNjQ58JWmrQKjFULmqCUJad1BVKvu3R2YjKa8nIxZN1CLrtjj7gGQUccxvZboIdb7L4+
ajB4UebekmKHctLiQ/JHcuTSmHSdhRJCJiJQ7QvzyqRB5Tv9NwQx2Qwe4TKTXZmIRpyu0E1+1j3j
g14PmDYE0UfdU781qtmuh0D8OrjeQtea20SCjpv5cDPI3GtqyJVuU4dLOuJ3eOBGC9zmzlXfkJFe
WjFteyx9ZV3CXzVayBZAAWzzZVH78CYiMOQm56+W1CooqWEiYw20SQHn1Qyqinh4Ih3dpCAJJEKB
hvKDluP4waI336XIhAq9mOqja/Mk5Jxy3XPajxWtS7jmE8PCVssemcRDxd8wUXNv3pXjNURx3jW1
IUm2C1durkdbOw66iEwRNcaqtXC9mRdDkIRme0+KyK2NqRDGEvlXWcnKSZq507LriQaVgxW+O9I0
k/yVnErhTLKidCrLGT1qsspl7IIgm2PU6nfDRGvtLTmNp3aftQiLw3wOQE7A0UCsEaFAcy/pCQbE
FVglTJLZmKAcqb8SV4TapFRMoK18vCQYVz3RU9zKe9hy3jpWHZ8Myaj7rNqAwrDmKz/4xDC49YVa
W143NwmZXJhuIqcfLbrX2YxO8ahNsBEUyIFNUB0GH4F5ORTwDbWi9+5AHudYpZMjKlw1znNA4LA2
0YCROiejgvGJcr/2C1lQr43+Ci78sesVgTbHTEAD9bHjcdbbZlWskTRDpC4CSIIYkWgxJsSDBsEz
vsoysy+wTtHU26iT5eAshrDCPhP7yqw3rXvZaxpSNs2hpGzo3MzBSyXSjYLUbtXyPsq1FVd3qtt6
3Os1EikgKCam+wWmN/GOslomJO45PUbyj6fEP8elTtH+6+Py2t9U9ebtcSl+6+W4FIIYxTGp9VWD
6Fi0rX9T3DQs023ATX7yfCY+H5e6cqTYdJW5x+MUZz/KaJ6PS10+Um3A1ifq258adxivSkG6fBzL
PIXkAgOfEBQ9P18ZVPHmeVzEeJdbITkOQFiK3n1CvIGPcyFd5D7U7grGFdFKBGsMmAcTrQt9BmuD
treBmAXxFtFhlMbTVMFhctCcfFJ5HDa2trLjZmHW7jzplVWHsC7BUxxXP1JPNeWuMgjXgkuAkMGf
V32x8S2O2rrZojmcdwhGa3KVJoOSnxW9fm8ifPEGJwBvRH4rBUmzCvNyVTrOSYUOIMPzYFQxSAbW
JC2iPTUxxLS69rxTQcSHUg8w6VQ3MQaxCIdu8dgwFpZLwEoO+21ZAu5OMYeCL2FWx/iGkOpJznCt
ojnQwnnkh9duixtDr6HBa/P+KlV01EWkwSEylVcE28snGsLn6Wh3sIlSJZ1IiXXhaPGDGqASGVRA
ycBjLyUB7SNZut/ivCGvLe0ksMrwLNL7bBbg9DNP2zye+rmFJ2ifDYBd9pzT8Ng3apQlXXxTG6WE
HQ96Xju78jFnnqS2c6zAy5kAip45qUpeU7NU6/4qgGIybwThH44tSnr7myIJAYqaXvU+NCzddu7C
UEFmm0v4tIJRNrGWTAdT+zgmwV2UFrMuTlBo2BFU8CA41RXnJCzkb1U1miuYc/pMDZph7lcmaLOr
XTW1/9kP+fweymvMXUQCZ66vGhMJQJ5q+pyw6W0WRhiUxLOOJBc9gIFD1KiJcpD3kfuKppWTErrl
35K8+KEvsWnP7ByqjdYsPY+mVpHWw6QGmJ91Ib8XayQ1KkmkL6n5LrLMFsUdf/cKXaPSF7C+8jti
Bk/rMDgtAydYS5ASp4YJwK6rQMJONagIFTXkm3VOpZCd4y11CqZqreE7QQ2sAqSu2V0RFgEpFsDC
TVDOej2dmh0fFFSN9njcrgpFvlTVapobnbCEws7Ka9ZVmt80UrvMqvTMz7KFbvYOcF1A1k7VOnPd
7MjfiaEA2XJ7C41/W7XY3YT9EqkkgdEpETGpKTg0fKvBusyKrp4iWr62o3hRy8cFl7T2zJWCxSA7
cPjSC8VIL9UWgpQxXkgNSpd2aAn/QWXTkEPWZP44UxG7gkXFmJskgUvclu+i/jAZch4KepZP4ZIl
IKcNDW25/eZHfTTrEw0+Vi6WalR97bF5QOWMG0zfwN4pwqnbOM4SA721r0ADHF09KScqMdATO3Vg
BBI/Tgac5hJK5yNqlmxtUaKn8Xq/Ps7cKMTBQ39oDEQUxP08ZFp7W4zN/Wh1IXgwJ76ndZcDcWFT
bK7wx6jNmj6X2kJdbVK1PFG9uD5h7ylmoZ3jgtMXWKakZKQZaRKaCw2hi3GDn7xtL33E0cuG4GvW
UpEq0DD6cpzbDSkHczuViNEsWtjAK7yT8P2jph6DcylNhubakROlvu6cUtJOmr6hV2+ksX9bjrra
XkR1vso85Kp5OJBZrkf6IggMIvfkcaOU3ofK1TD/j/pjXU+bRSmVeNZI5olh9cGM/Codoph5X2RZ
hczLxPI+1G8jyYSE1qL3UuTRPNYyJnOU2pgp6zptEiP7krv6xg9LdVbbsFwhrX3DOgYCnJ/JEzoM
6JW4qMDPhAY8RP3ZQLphHzh07HLpTE/LK8ltThI7+9IG3bdRgina4+tRKejrvNwgrlHrjxGpGHKH
hMXKN0GUfTADF3KsahBshxM5iDbUSDU8dyvnVAqHu9hXv42KzFM841vUJhiHBDNpPFaHPpzpBsIx
r/wQ9Ww9si8jXJr18UnsW2dyFMN17DMRXrX2NQ2Nk0Q/swjGdMJkPDetCEat4XhzmXhVRKnqrLOM
cRb0zRnY5An1ljtlFPKVlRZUqujKlpresrfrOWKzwJqPUKhQyUkf62g2Gt5ntawAzqEH4gUFvcuO
nI43x2XFiZyVNsLhGfsY4T++T2DufXaR9Dk2CVl3mts15Csb3xtPsS6CLj0joSsBO3UvHLR6VVKt
vKbemE43zNU2uh7QRM7HRGQfOhwgRtjcuE1DFmSXfs7i7DiUCAO3mvEWPhwE7obonageswl2hNK0
zOpt5Tg3bNALOcfhOvHrieppK5qXN4h4RMBoP4V8ui467bK18w+OkX0NOOggTsrnuowUzmDdtanu
YrullFNDLtceOafsup3H1QUnGj+K1o4xCH1lOiV0vlhWRtBNA72CMNxcUoksUrX+1CYY9ESFD1wM
uXNo9H4eyUk7lxW7gAHu0rXy+KmF6H1mRvAWJUlZmiopaDUDOsXV8EKmvkfkUR8TFl9OCtM5tqr+
BoK3jB6TQ5AtC7eA0VtKnXISp445HTryT7HMjE8Iu700FUIapAqKTZ3KyXpUY01wHYgm0gqXFEsN
1kZwyYX9k0SU4AKzLoI+ApcNzuhWY6KyJAz7UsWdD4oITjpm1t9jCP4ZyOSiSq17CFD3vSkv8sq8
zSLvNvNyc1aTuOIm+a2c2StNL687Wz2BSoOskLu0HPsnatltPHwQG0vdOhHGik1wNSoWPjy1fJ3q
YhOXDKyrSv+fsvspjEh4hf+m7A4qUjOyZkfhze/9UHjTWxBKERExRHvpp8LbUhw8QGGRIiT5oU+l
k2JELCBdJMpuU3SQvvepKLxJDoKORsSfTJsBB74/6FORRPWqTwV5BNE7CAoyFZOP8qrwhjEMs7Ek
Q7MvZRZYq3OvzHUar3rHVZKdCL8L3BrlTqbfY8gncpxQVJqBFa1jW85uA0LKzugYiOBnrbgO2ThW
SEmq8y5y84e8Fgz/uA1O/dgaLPYqdIy5I3UabD6pv6zKpL4oQmiAkmwiwYBJa0OXVOiopG56HtGj
ebAl/8PQxwbZo6iCVTxyliOmpDe1PRh3cWuxFGh9nNWVb+Gql2bFxGqkaKEYQ/YJtmE98bVK3UL7
jm8NOU5XnoEtXZq71abFkHnuy3aA8YzTLa0QM2IU4vlVF6bzuAnqBYz9fNZ2it5e+FKqt/cZTlH6
iZK6IyGf6G8bGOt1I211zwn9c5+sXEJ33SotLyyfctHylN6/9kNHpPY2cJhHNiHR/XGkDKW4p/u9
vshiRLWYtLfQwWe0/OLgxJRSymVcTIevYasWyVztHFxM3f7OJOp3M0iWkcGNM9OF55vG8dDg2lZ3
2bjBxF/QDtVAhvBFrlTgKc7SzVvvKzMpIE96HDdu5Y9bM+hvS6lYpF5wLFlZNUsUaprOKPOVlHew
sG2lGZYRNGy2PNJJo6zHJg2abQ/nPEO3HXReAF+xxgGoaBMK66j4rFtBvI4d5UZjg17lEno9LIna
iYFp3MoMK/Pahly6rqXaucnlwjzHYFWeYfpB/JxaG9lHt5LxCm5j56tEd+gYiyIiBvvkAhNXaVbW
Lb5hklT18y4uinrWuwFegFJWrYfcTT9w+8U0jyrli8e+NxsdK7zpKetOLWLbzkDywjvkI2TyjEJU
G43Z3dj00gmTF38zS+TreqV7a49Jd5OGZTxvsj64xjUmv/TbmJgcGNSkHuo6ZMOq0vFJxES65sJo
VDOP5q419bD7w32Z7Re+sx5rx1bfaVeDWdp0JzNT2eZElC+KAF8+h72dTD74WP+0QJ48w4DIfrMX
4zi0LXfsxPzWjzsxO6kQqj56grFJf1f5KUcOpTSEJkG0J8Xmb8TAoW8itltI9s8hNN8RA/sIxaAI
/sB8TDiRqX+yE79FDAwYfGhJ0BmqsoFsn8/3I2raqlQ3heQMF5wX1QKaWDqvdLmKAIUxDz3BprEn
e601JAmj3jQ/67rmWk6MpWFHiGdKvPICXzZO+5QKvQ1V1FWVfswZIk/jQasWqlKDLcI0X/XklV6p
OsIilFPwTgfPWFZhduuMSjiVDPk+LSjtFX+8SgI0Ym6HV4UEt3mieQhj7bidplkrqnMrmgZZN04U
2+NmRzz2NE3Uq0iT4nWbdA1OEMZcLn1jJVn0YykAq7XCDo2xk5ka0yCPPgCdbLuouMY87zRPsEIs
ZVNah5TddNHjeDrWTn4hN2AYqggs4ymuEp1h4dJxbcb7sU/jmds5ZzKufjgfxoTStldyNH5KmvzG
CYsTGvxfZAkafJ7wYcdOneKceqob4kwjHmzM7YfRQVQ0DFExtdX2ZLDIeSNnrphKDdCjb/YLB0vL
iEOEbSxbuFk1t6TiLFXz2zDAScrSchdn+aScd8bwdQzUcyWABNtRBAe+F0/pohb2ZaXZ0rCUGuFa
6fN+yMYJuC1xYVHw5cgzlDX9Ao33UqVWbhQHNeK4HW2OJsNqT9LeIL67JO21qjBXShtQGT1B5gBu
lK8cD7lhp+qf84bQTEnzZoWez9texWdy2Lpwn9F0kpjnesKYGidLL5tZEQ4htT5mC0Wu4zM7JiGm
HEza6CSd52FOS2fc2EVFug/dryl+JVih6RUWH2a2binDwzC7auREnphm3uFpEi7wrDBigr3Q+i8b
xbzqO+8zfi3OpE6qE6+sY8zVqNNtivKJTZoh8INXz6xhlFdWnAbzLIHElglSZ1A4n3KXJJHEK/Cv
NE/czkZSUUBCrY1gIw+jSAzLNlbPFY20pQCAzB1X4D36rCMHfZ57Oh51aoNFizLmtEnIw/Fq79py
ATywbFJXyGrOajfrp00qzL/6UZoEhUVfQddPYqm7MhX/LoVhMkn7xJ5jhHCamOqKEAU8oTyH+Peq
msWSSnfMxyXPY0dHIFSDfmCHCV/1IiMJgVsTcu4uum/C5nOYaF/zAb2pTr8NXviWTQoXXQ9jbcjU
LTrXOSlBJaKOtD11hupSy7WHUIfWXeX+SqMQ6ELnvFfT6yCNw2lijHdxUcuTCuerhW2E4SIX98ba
RWKZFVeUSfEkDKNtOKJdHVR3OTacUGosmZNKr0h38ILrzPc6FnUQzwl4/Jx22WcSDpDYt/qmlMMv
ZNFixVJDVc8zYnqDjFyHzP4UltIJer1jHA3kudwbc9PPj93MwEU2a6ZkD8DYdaQ73NapqLLTrEwA
1KCLTnzPuq1H+PSRpzmrNie0oErIhOqIuUMy4egXapTh01DQ7Xj451h8PBYFR+HXx+LHrb9JdiAD
4rd+OBY1zh1D54TjIBPZbN+PRYEMoKciUUDGvBsZ+wuQzi1EN1SsLQEMcMx8hN9fgHQHgy3E9OIC
Y/FLXGv+4IJiKIKN8yOQzgcz8XLmvdDYmOKU/elYTGPuLjEf46J1/KiahZp24xkypsapdNzE3lxh
F5saopXgts267wZlkiWqOVda57g2InOa0+NfeCFaQykrlk3IdEwV8OXMTOZhk997as+UpYrvXTDS
rJFmmtR8qhBCfhiwtl6apeme+vpgci5ZM7NAqp4jhDnjICdx2lOh2lrK19qtvsngrCviSFnXoUKY
eFZFc3pDHwalv6IfYV4V5BRMvagj/ypOobJwjQEIowfhgSOi8mKzhL09t/toEXqNRISx5c7DJCDM
uQkeFGyxOfNaXKdqvO9WJpHDnMKjO6k1lA2RmyoXrkqyat+k/DvfSVcW4tdJztuPAdBpaWEyAnRR
0sZ2EM5romOidWex5V6EmX/cp+qqLjnT6lTd1OjITkyPhZ/VrUF/I/yQGRWgX3bSSjLMKFNDN5Ow
ykcfpX/ZkKPV0HgpSYmZY5l7k4/VtVOWOA/K9tooxsuyi4YZkNJnrbDuszI7L6BjTErFP8ZI7dKo
3Y9eizS4owxo8RYvc30tN86ZQUjBjNAGE9Nq3VqisLsNu/gYf+67Pqyxr3Kkb71no6erQefj9ouR
Ots8tYq1ohM8Gqa1zanFsLQxdxXN9/zTIMClPEJ2+0VNs0t7CD9FspXgQgzll1SZfi5BTJgjrRon
Y1V9BpO/s00QAF3N5hGC5cngBf4UvOpTpmG+nsgxhjcg+rNK7j9m/Onjx7Zw0BJckY4ErprEYk89
vbnMRR8Z8Jb4NlrLel7ftrSaEy+FmKEpD7noQuNhJkzcVWyE6FDjk9MuTNG1Rifs8faYJzdgsigP
RXs7EJ3uXNfWkuh9e3YSTjU7YyHQGB9okOs0yjXRMXdwZp8rYRXNGrP61qW0lCp5SKas/Xyai657
MBKy6rvOhNswcr6ANeL2GfHwol/vKsWU65iGErRdei09fd/uLzSa/CrNfp+mvxnZawkQoFHXWFS7
3ZnDM3GWuM4FXmACHESJ+dlykgsQHY4ELRxmLiBDhDQII4Ftlda3iPnkWdZzbmZh7swryymnmVNT
Q4TpIovyM4xalpWU3FTAGlHhndZJnqwUAI8Amy0VAERvOuRQAhMp+/4iiVVMQOX4zgc/MUxu5Kbc
WeuwsE5VJzkPwFpiAbrYAn7Jogh/egHJeD7gDAhNsG7Aa1RwGwX8JhZAji0gHRNsR7eMz01ZXagC
9PGjzJn1AghC0YX7ggCHOO7wMmrqpadjMEfYVz+VwJI60/2Mb31KViEg5wjeNArgic4dRHyKpBxc
yh3LbSGAKnWMuV476koWIJYv4CyHYZ22IFwqSFfdEdCnCfCLNFcdbVtpriKQMShTJzpIWeD7FlZM
gGcxKJoMmjaa2kcXTAtPBIC2Ai3YBJ+1DxgZcjmmf+9p6ZUq4DkFnM50mmUtgLsitV20NmQegem5
YHutX53Jj2Bfbh8HAv5zreQqBg/srUA69kEIAwEVwvk4NsEOW5F0W1OSTsOCut5Mu2geC7BxlP0z
7Mqgg1CNzaQy/uaN7sci50YxKCJxRMCWvR8+lDkdoIzekyygTV2AnKmAOztPGlc1CKglerRjMV4N
AhyVBEwaQYXotWDeCPwUHBU3j3ah5+WxYZMulSq+Ny0E7Kp1EChiMzMWbjLcJmCzZDFuqDeDZS9g
Wxv8lmLoRgXPHa2MX1UxyWv1RQniSyzCCfSfVVi5OGswiWgwYJFsgBMPlnI/ghsbHnt2D5JMIsS8
UMotMOBZDdKMPnZuCei5GsjmA4vOMN3D1g79Kyi1G1Eag1rLXr3QWyYBLm7s3PmENos9MwTU3Q/W
xxzse9SNbVSzUQaamc3bWDjdccepQcwVDXivr5yL0qGlrYKqQ7+pKNkxhLZEN7hVoX855VWJlBN/
pRF3w8HbcHaW8yzwGzRZQzaHiWde2LZkL+k9qcuyKm+DSLk2UpJ2SL2+Uaz6LkQbPynZFyDIgAPj
sI74qFfAw+2vGoqqZemUCz7f1zLEbTG1s4fKRbjrhJhepBBFztMoNEg+Ly458/Ac5GddjkGJQ1h5
DetKw4QZv/3mwRWh5LJVPGhkeoShU01dyY24E7hnSm42E90bkOVk+Cp7Pe7PbkiGAqusmLq2gSRB
ZpXlAdB4kC2yxlsNZHCSI/1Vg2sDKyC9HrLRx6wy/BJZWExQN2t4Xi5JE11SR/A3cNtrxciVadEW
1vEoWeu8Fmb/qY47BaUR2evjAKSpVBfkbsy8IfmGIivDprm76DGeoGj3TmUtwKmizr/ZUgqgpDt3
nQjfkAqUzl5qkp+EyUqOtY2MXdlVaadn7OaV457prb/0A9xnsUwA1cDIzCnOsxhPDnNSBrLn4d5R
4J2NaLnwn/jq/x8wbJ4/4s6cv++2rOKnlxn+Mh+z+eukwP/Tf/RSqe5+0B8FB8pUyz9V5o8f7DG6
8LfPiTeEOTUPRBNqzhHeGTiFKbBVxYvSN85oyD79WFJUARPYVEzPQMUPY/SrUfj9F/ywrV5lKr59
zm8//GvGrvy6a/fvDAL2V5xXKpSl19+evhyIxjOZ+NC+vTB723sKWEdEB8BTNkl2Ey9uR68HQcW8
iwjJx7c6tDEwZI025p7LQD2yuAgYjxYLP315xTrCcNBWbNCzx9ehjsFr+t6frwLzyDYgutO8fvqm
zKyfhgJ+H05zMgYuLBPG+z88EX7sxBt85H9jDvAF/94JrSPRoAAJJSVVvGjQ//T1ofxD9EAGD/Xr
kGfCG93DvzMTNGLU4Ab+eihUh26JIqTD//mZwL70+lAQqos9twSNHhOpKkDqT39unvjzfGDfhGRK
RiYz5SAHQX7duPvzmWAfQRwg+sr41SDQieMFlvRUivyH94QdM0HmONtzJgDCqY6J+9PzvvhmY5SZ
KmKuGAKpe9w5DnM+PE3UJxeJ7+XnH5WLpCxSCMg4hb5aDYQ2WtyHHRbEYY/BUxGzzxgg/eKQ1OGT
794YOCcNThIFTPdQN4b9Cyb7CLKbA6mImS9er3dH7g0K8Rh4vD3txAe4MexfMdlH4PmqAgbxOOff
Xp7kI5gdXK8Oo2LatTs+lXJ7LAcEHBZ205YqpoN4vbk+6FwxdY3rw9PSO8CZsH+xgOgTQacB8Pg0
CK+PCIpHIrP5R2jnD/JwEFYqe56T+pHwSeCqRCaOeLHAXldMqgMbRPgaHuQYKHsXTICWjxaX+ttW
AqNjKkiG4UI+vg51DPYvErhMc5E26CX/Yh4YRwZrBRz2sOslAUbvuSSoFUyZ/CS0bY+v10uCsokf
QsC1n/pvh1oxKPuXTbQXCOZWZeu5bHqzRYrT1DHhtxxqxSD8X/acD/bRc/Lnc8XwZj48NqJMXRcF
9kHukSKpfc9BwFaBXpsuSIi7F4VypDpEITjOgS+Kp3Nsj+JJYyjwVLToYT4dCjvKaIgvkGZEgX2Q
80HZv4w2jjBSEvepp+NgV+dNXDYUVLsHOgjG3oemKBz4fkwF82kmvCmjVfjDgBRANQc6CMr+x6V5
xBiANei/aEGLHiw/42Z9qDPhub7fZ08gKYbSyZLppTy+OHp/KqO5WmMioyBlP4g+/I5bpbL/rRLy
H01HEbv59HpzUHK15scigvtAl8ObBPI/775afEfirw3zVzNBAZwlVgdb/QMdhOcde7/lQPKXUI89
I9RvZgKDoIjIK+dgl8PTFN1nEPQj2VBRY79sjK/rBMU+EvNAt9g3xOtgz4inibrPUJhH9NwA5Cma
Xr7qz9ujDKOY1iMw3YEuCm3v7ZG6Ec6kbAnG8tPr7RlBdY1psnaogyBMcve+R/BXZh5g3LJzJlAt
ILeybJWz9PF1oPPhDcH+j08KqkeaKUQLIiN7+ao/Lwr1iC40yL1AdXkd6v7wDJnssz84R4roMFjW
c/eJr/rzUGj0oy0y7kSn+iCvVEKKvffSEIcBFeTz/vD6vACjEvg9p+ah9qOf0YJ9ZoJ1pMmmY9Jc
e1oTbwaBIhNFJmfmU3fuUBeFUO3vOR8MrLRUkzKJU+N5/f+8KCinuX2DWR7sebF3nwGkSnce3TKf
r9gcw68Hga4UheRzT+PwkCp1/ys2hSJsje9r4g1cx6FJECh+Dc+8ygMchP3Ra5PEVRPlmPyrNqxy
hHElcrWD5TwKfGnPPYGZIEJZaaY87QlvLlbUDNyw8Yk5VOD2+fDa44wQ6LVGmay+kF/Z/n7eE9Qj
kws4NilP+88BLoenHXuPQdDsI9a7IDA98/3ezASu2MKxWFa/V5eHWTjtf0bI+DoLmar2K0qHegQb
WMbX+VC7DcL3cs+dgXuTZiKxwc7z8UWh/POiwCCIyYKf0KFWj8/E1H0WBdAMUdU6MNQvSyaAXQW7
00PdGYRh+Z4zQWMQZKLqn5GZt9AMNTbsJ/rxh1o3avsj1zZ7AjRYaudfLAdRWIp/ALGei+uD3B5F
dtue8wE+MBYyoih4vSVwkCI7I3vwYG9R+5+TFvdFqG5se7+YCFRMOPswPoc6CPr+h4N+RGdRINK/
aDUJjM6xaTYhGnt8PU66w6ubjP0raNFqUuAxcVl6fL1B6mACg9LZFBSHOgj7Xyihd0Jg0uRfMYHF
hZJQadIqntoYhzcT9P2PCEAJi/aqTHb24+tNqwkZJbdqFDWHWjY+U5T3qZhEa4FLhLhXP77YBH8u
GxkE3YHpdrB0aH3/M4I9QcMpjFv1L2YCrQUxTH8EV/4f1sx37fHUD+KHR2kyfhaP4o4nye2//A9e
dLtvH/CDvOpRaffTf/lxyLdPz34SYYn//z+bhyRIZ0FVl8F9rT5KBX/46Yt08PGdnn//+Su+ffOf
3uzle738y1WwLTflvT88/mB4/qDnmwRt8//G/M/D5rU4TIADL/9OvPd//9fPH/aHGun3T0e+v315
0Prhv//rydBViK7+/qr/7sOTzUNWvjzoh4ezpPZ++EQYGb4854dnswvu/ezpJt60/Emql2f98HzO
wP2fn8VN9eZPChLMOfYOD0/rcvPXNNsZdSFK3r3fYraN/zrPyp3jz8mw9/Pn8V+zrGTyvDzrh/Hn
Fr/38xclHjm7Hs6Bt/fDl/E2TV+e88MHf4/lumqSr1n8UL99vCD97/3R10m+LYNN/PKovz+98h5L
dp0OOwZdkLL3/uQn23LHmAsEZP9HB6m3YyMQPMG9n326iXbsYYJ99w6PrqrtrjF5jwV6mlV//W/q
bePtrpF5jyV6tnlgA34Zhx8m4nss0bNNGewamvdYouLZebZrdxdckb3/rGfb9CG7D3btXoJ18A7P
L++3Dy8P+nvcBZC9/8MzPvvLc3549nss07Ns55i8xyrl0Xgmb4cdn/w9Vur5Jt8x0UVnfu8BP9+2
m7e1I0kU77FEL8oNW8DLp/zhz/keS/Qy3tzv8qkWyP7ew3IZN8mu4k6ADns//ENA6VgFDztGRrSy
937+9ea+5EqQ1jvOUtEmfoc3SP+abIkC3PUG77FUrzfiDcp0Uz7s3MiEiPNdvsUs2Hq7vsR7rFrx
JRasgPugut/1Hu+xfMV7HGebotl1WgkJ07uM0mkTVH9dfA2qfNf3eI/FLL7H2abe7nr+e6xnnl9v
/ppsyq+bXTWDaBe/x0jxHlPydnds1qJT/l7vUDbjy8P+3lNFc2//N/hd/OGjC9wenYRrehg7h+Zd
FvPvE2T2/uxZvNlVPYgO3/6jTmGyy1pa6DD3f3i9SYMq3jQ76nAh3dj/DX6XF7HvuP/WdXvvh1Pj
B/WOok3I3PYel98mb+/90RsaRMmuvpxgBOz92T/xhGbXWjXeY63eEYL28iH/3sAEarv3B79rvu7Y
fAUE9i8evast+9367W2z9sXdcdev/dyLFv/FfbzdlP/z/wAAAP//</cx:binary>
              </cx:geoCache>
            </cx:geography>
          </cx:layoutPr>
          <cx:valueColors>
            <cx:minColor>
              <a:schemeClr val="accent5">
                <a:lumMod val="40000"/>
                <a:lumOff val="60000"/>
              </a:schemeClr>
            </cx:minColor>
            <cx:maxColor>
              <a:schemeClr val="accent5">
                <a:lumMod val="50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Amount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Amount</a:t>
          </a:r>
        </a:p>
      </cx:txPr>
    </cx:title>
    <cx:plotArea>
      <cx:plotAreaRegion>
        <cx:series layoutId="regionMap" uniqueId="{9C7E883A-2078-4C13-A5AF-4624BC014020}">
          <cx:tx>
            <cx:txData>
              <cx:f>_xlchart.v5.6</cx:f>
              <cx:v>Sum of Amount</cx:v>
            </cx:txData>
          </cx:tx>
          <cx:dataId val="0"/>
          <cx:layoutPr>
            <cx:geography cultureLanguage="en-US" cultureRegion="EG" attribution="Powered by Bing">
              <cx:geoCache provider="{E9337A44-BEBE-4D9F-B70C-5C5E7DAFC167}">
                <cx:binary>7H1pb9y40u5fCfL5ysNFEsmDMwcYLd3e7cSJs3wROnZH+0Zq//VvyUuOW93OyBfTwH0btz3BwFYX
VdJD1s7iv++6f90l65V816VJpv511/35Pqiq4l9//KHugnW6UkdpeCdzlf+sju7y9I/858/wbv3H
vVy1Yeb/QRDW/7gLVrJad+//828YzV/n5/ndqgrz7EO9lv3HtaqTSv3m2s5L71b3aZg5oapkeFfh
P9/bqyT8mcssXL3fvEb+fP9XskrX96t3dl5nVf/+3Tqrwqr/1BfrP99vjEPev/tjerst1t4lwH1V
3wMxZUcc6Zxwk4qHD3v/Lskz/+myhgk5IozozISRH+96Cay8iaMHflb393KtFDzZw/+3B9h4DHgb
f/39W7gb38YIgA9Y/Pn+cxZW6/t3N9WqWqv370KVP7wu2dv5+Kifbx7ezR+bEP7n35M/wNua/OUF
ytNX+3eXNoH8G5DtPKnVPjAWRwQJQk1soIcPQDnFGCFOTaEbmyDP52g3xhP6GRBPKA4M4b+SIszW
e1jF/MgU1ACA9cdVzCcIY3HE4GMYTN9EeD5HuxGe0M9AeEJxYAiDEF81a7lSewEZC5Ngwtgryxgd
mXxc6Lq5CfKbmNqN8/YQM6DeJjowtL/lSb4XoE3GdKEjEMebghrDMtYZxibeRHguI7vB3aCegevG
9w8M0r/S1X0u9wIqBSsKEQ4SeBNUBKASIigSD+t6Au18hnaDO6GfAe+E4sAAtnOwGUcrS1X7sLX4
EcJcCErZbk0M9jSmOjcYBh390qB+K1+70d45ygzMd9IdGPJWXVX7ML7EkYFB6aLXjC+CjwxDNzEm
k6U9m6HdWG+SzwB5k+DA0HXWybvLHNz0f15266B2DR2E9Liyx8+Wk6yDh6VTcJInXvKbmNqN8vYQ
M5DeJjowtM9X8R6ApuIIYMQMgTJ+zVMW2MAmZxMTey4/uzHeoJ4B78b3DwxZN3nn5BKMsH9+HVN+
xIgwDfIU6xJihykmBAb1bO4yxd7E2m6kt4eYAfc20YFhfhOu5YNNBvG8fzS6CarZRBTCm/rjeqbb
gMNFxE3+GBqbKOj5fO1Ge0I/A+oJxYHhfLGWdxChtfcQxabIFCbg+Kigp/Evgo50jgXD7HEiTHCe
z9dunCf0M3CeUBwYzgsI9Wf7EODmEaPYNAyMH3GeCvAxzskN+MGTSPZ8jnYjPKGfgfCE4sAQvlll
787rUL27+hGqYh9QG0eEExMLnT+Kbliy07CJCVoavCqYBC8d6f8L1nZj/tpAM8B/jfTAZsEyWWfZ
HsQ5qG2CDCwIWNmboEP0RHDMqDFxtGZzshvqTfIZAG8SHBisN3my2ov45kfEAOuasSf3amtNE/C/
BNhi0wzGfI524zuhnwHwhOLQEF7dSUjjZ9U+JDc/MhikI0FwPyrprWgJPoLkBvxAzGz8TIyxmzfx
9gre22PMwXyb6sBwv1hn9/lduJfFLY7wmH1mDL+isCkEyZhJ6Rg+e6mw38TUbry3h5gB9zbRgaF9
XKc/8uS++uc1tA45K25iXd/W0PoRZCcpArf6cfVvYv0WlnZDvTXCDKS3aA4M6NHcdMK1vw9pTo4Y
NpghyNSnxgyQphxzauxC+k087YZ6e4gZWG8THRjYV3KV+fsIftMjNsY+uflaERHUChqQpTanGns+
R7txntDPAHlCcWAIn0Hh6T4KiMwjCsVDRNefFuyO6IkJ1yBPOdHQsxnaje8m+Qx4NwkODN2TtFjL
cJX881qZgqwGOW1ACuvRBJuGu7EB8XADwmdQiDJ+Jpb3WzjbjfTWCDPA3qI5MLzP1nIfMRLjiLKH
ooNHKEcsN0IlEAodK1EwLPlNE2wuP7sR3qCege7G9w8M2ZOs34fFZUJJPoEAGJQAPhtWm8hyCIIJ
0+R8UkI0l5/dyG5Qz0B24/sHhuynGmrx072UarMjwYnQdf2x2m9r3UKqChKWGHMC0vulm/wWnnYj
vDXCDJS3aA4M6YuVDPchngFmpoPfhJ5qDabeE9QBGhRzk4nJIp7N0G6MN8lnALxJcGDonq+UWu8B
Xoh/6LDZggvyaGihqaUFq9iEyzoAvLmK53O0G98J/QyAJxQHhjC4+2Mdr6yHPdjT5riIsY6w+aiI
dyxiKOiGBKWYlIO9javdSO8YYwbaO6gODPGLfC/h6zE3ZUBQ8ylsuVXjCfY0AawFFAdurui5/OxG
eYN6Br4b3z8wZM9z9e4viG0l631EP/QjZBBC+XP0Y7qYMcwAncImDaj/3OEcv5G53WjvGmQG6LvI
Dgz7i9U9bJvbjww3CdQLgCn2DOuGNwWaGpmQrNTxdF3P5mg31pMnmgHzhOLAEL4BuZ3uA2F+pFNh
Ckae9kVu2WIPKQxTB4w3Jfd8jnYjPKGfgfCE4sAQHl2JIt/LFnYG9Zs6rGH+ZHDviHYJU2cc5sBz
zOSl7/wWznZjvTXCDLS3aA4N7xyKCf55kQ3bbSA4IiAR8WR2b1WBoSNDJ7DdCk9CJBdzGXoF4w3y
OQBvEBwculm1luv+nweYmkcmgy3OFL0msfGRaZi6SaddR8D6nc3TaxhPRpgF84TmwJC+XBX70csE
lLIO6cRHy2uHXoYiEdg3ySfFnHP52Y3wBvUMdDe+f2jIrpvVXtoGgTNsEsYperKqt7DFkH2CfjL6
NDJyOZujV9DdpJ+D7ybFgSH8rf6xj7U7FvNhSBRDuOPhs9UyCPY0wyZIDjJ606aey89udDeoZ2C7
8f0DQ/Yxkmet5I/VXhxj/UgnsPMNan5eSTMKaCrEqY6hMdTDZxPoN7O3G/Hdw8yAfjfhgc2B62R1
t95PNxKIZI7VXk9ZyF3ym411JOTX5HjpT83nazfqE/oZcE8oDg7nGjoR7sHSFkeCmgx2PD8tcshG
TaNfkKQCX4tONsxdQ/57HkevIbxBPwvhDYoDQ/hjCG3BVHi/n8JNwZFB6VMl0FZJAVTqUmgaBmV9
kxDnm5jajfP2EDOg3iY6MLQ/1clK7gNqKOGkCEMQ7JXqkTFLJaAwCBsTu2w+R7txntDPAHlCcWAI
g/nxzlpDx9E9VYAZsFMO0ha/tO+m1IYIGSIINmBs553fwNVupHc82Qy0d1AdJOIyW8n7/Wyggp0z
0IUV9lM87Y6c2mQgxqFwDIHdtmWJA+hvYex3wG+NMxv8LcoDnAAL2HxxF6q7/BmCf6YHM4MaEgZi
+5XlTkZXDRuc7kD+F0dzrMfXgd8eZibu24SHBnuw2kurQKghg3a8sIOKvhZjIVAJCiIB2iA8z7bH
3ts3szl6Be9N+jlAb1IcGsKgy0/zVVnvqxIU6kB1Akv44TMV69AekAjYlCPE7h5Eb2PuFcR3DDIH
9h1kB4j9BTSM34cZ95C0Zgx860e5vuV8Q299wmHXtD7ZiDMaU7OZeh3xzSFm4r1JdGhohyoO+7ye
oyvfdpDC2COSgoomzwcpgKretNnJkQkt2g0oNppI8zfw9ArW0xHmQD2lOTSkH+uCwQ3fR3oEAipQ
KAhdIl/rN4aPRicc8l+TsBqs7LFceS5br+C9Y5A5kO8gOzTUq1UWqmRV7yOWyqCkH0HrIfO15qCQ
80RjCSmbbOmAE0newNUrmG+PMQfybapDQ3xs6ryPDAlkQCkhcNzCU+R8Wi4MZps5djPaynDfzObo
FaQ36eegvElxYAh/WgerfdSNgv8F+6BNKAp/JQE6Hn0E6U/o3P1ouU+MtPl87cZ5Qj8D5wnFoeEM
G/HgUKs9mGbQrAZ2QYMT9pTI3mGHj2VIkOieQjyfpVcwngwwB+QJyYGhfAtp5HovNhn0YIdOvhS9
dvLCQ2oEMtommqjnN7C0G+XpADNQnpL8L0D59yxuPPN40Nlfz17Ojgjp2w+pg2pf04RKlccQCizT
Dd8KoDUx1P9DzdKjp/1878d4GZxD9Otkvccqhl087cb2Je3GMz4+4u9fyn6OoHv9eLpfJ/05q2rl
PpwR+OKEut9ffXh8ONtwQvq0BX3HC/tVtHly/+d7KPGkBpyA8QLZcaCNDexPc/4Zm02yNQRZ/3yv
wb53cJPH03AYtHaFQ1Jgrbbrp0vQFpQJENNQVQiHFprgYWdw4EMApxjqRwKyogy21QvdhKJSmCAq
rx8uQdc5DG3KHqqN8cOl5ye9zpPez7Nfr+Xp93dZnV7nYVapP9+D91Y8fmvkFh4QClqh+TC4+dAU
S0CvSrh+t/o49uuBd/B/OqT5jZRZfTn0sV3K2vKVYYU8tV68lx23wQhU0vRGBnQtH4uvEIGzJUZG
XtwIJ1VTmpFeXKLaEJ/joNRMO2VJPxyD32lIm1ZZrZ8o5Q03EYl9C3qy6V8izvxvRR7xU+n34gyz
tLAKJo3uOujpR9rnTe6Yvc/UWRNHin5vutLk161XNs0iwrnuNHoTWmasJVdtlCjshkWREzdvk7qx
ueZ7kRUqL/saxr1wDT5I5Kjszkj09pLpRXKl16hIbFzESb/IvY7aSVNbWqLy1mJhm9Mr1GAjPm+S
6EpWcWulRdbZgbgGob02VHGflf7CU+gTa8rjrKVLQzPzJUHwFFoRukL3FiJ1jS498fq+dGicho6S
2En68mfAg49DoV9iUvysaXOTYD91W11G31icK0f4cX2hsUJelsowT5NQXBQiTdxhIMrKNI3+1COV
HetegC6zqizctPFKK0w0wyUtv6CVuFSZap2B8Mbxw4Esq4x97rH2NSFB6eRRYEirqnzCrJqSAKaF
l7qgrkIXtiPCEBVZ4NiUn6Ve0c4xeRZ8VH6juTXD0hUd6r7qSdjDWyR5Zam4lo6uyd6JjOFjaVb8
NICFc/n7OUZgbU6nGGyigB4x49EmFKb15hQre1n6fsflpXLTVSstfDPcMEuzSrs6zo49bAWO76ZL
5ko3s4xTfUFdcuzZ8d/MdQNW9As+OLQBhZMJIY4CjYkQ0qElwiYfRifb2ldBfukR/7RPgs6O/dKz
ilYnFmexcMvGowtJTBlaHkcXPpPeKQaMzLhM7Z71l8JDvcXJ8L3qcrFQxEsXcALswuPDd2Z4hhV5
WmB5Q/elTApmEVn2NlMRdbrWIxYOotQygs7tqVi2OLMjb7BLnXvWYIjjgWKrJ2QJPbWwVVYSJoXQ
7SbNjqNOd3KqSytHhdu2/jnx4sCKsxA7TRFaaRopBxbxZdsJuiz9KLYU9T/7bX6MaXpRdxxZGi+W
KIaJxkSpL2oU3fwe4k0hAm8WUsUmtNwcq7ApxCUnQkQMpBVF6slL1KTREgRBAg+PMlsLA9fIQ93S
S3/1+1uOTUo20Zzcc4Km1jVMNrGvLkuffjM8aXe1nzuDYsd6Wl/kpYcs35SFxcrSNhJVWYae9eeD
rAOLa8Z5HvKvKFSl1Sjtpxfri6IsL0hufkDecGf45fe0DUunzMri7IHxJ115/VLU3+VFL0M/eDqz
99ev//mUp/Dfw/Gv//3jeOTvf39brvPRplDTL433+fWt/x4hO+rAX+fJTjTr47nBz8roLRdf18kv
dasBWYcX4G2p45eWzaNV9KDjHqh+aWOoSRh3TCM42ciAvvow4LM2JlA/PFb/Q0yMg2U2pjCetLEO
XZzxuJMeVrMQcGgSrPhnbTx2PYEBId/NIe85KurnF7ABEdghT7+/1MZ4FFGb6hh8cziNx4StRBQy
bJMJXg00L8q67i5BWwi3ab2gsHIasdiOWdt8MDWjP426JotdhOLqW5XrzedYV11pKZGVX168vV3c
bC630TiAdyGgwx4cMgFHKo/O5EudDfO4iEVQN5ekzPClHw+ZZ9UsNwO7a6pcWE2r199YU2ihJVNe
lXYZSVDdHiwO3YZy3exeVBW6gjGC2iFJgj8PhsbxsjcNb417DXeL33O8QwXAJiuo4hdEGAxatqIJ
xyELANu+uqSd4fuO2Q3J5waML7qoWJ8bVtN3OHJC5nFrYGYfWn2M6DJtZI8d2eTVfdAphe1QKwxH
wYHZjVWlAWosEDWx7/qgFq/jWpymSgTKgSy4uFVBeRYnrdG5odLMi1AGTbr8/VNtwwCFywga4cFx
XNCg9OGhX5hOrNf8VisSBYrcE7e5zzGx9JjA1CiyurtuOyluCg8nX39/26lpCG0DwFxlFM5fhZ4/
hI5svbitgTpfL5SfXWZ8wJc4DurLTEk75F5w+/s7bSpMA413ElD+xaC7DGzQ4JN5VmR6P5QSFCYv
kL4q21wmS6/iPbHiInBRWSeDTVHPczuiRpv+3aQZJ8XLRQdPScb+ZDqcMwudfqe3B1siDPwsDS9Z
GRurNKqNVZyMPBhDqlxT5rnVI4B+2SZlS6wyztm6SoQ6aUWvn3cmlcimbZTHdsSy9DOVBaFOwPt+
XWhN4SBtSJltiFyXxwY1h/pv7I3xJJAp/2wUG7CtAc41hyZrm0AhszYyw/C0C1x76SqUlQLzWYur
TLdo32f+aRuE8Q+fi+K8G8pgYeZ6F9oEN+xnxYYht/vAZ7aeR806lJTdN0YRsNPfQ6xPrCIAmeoU
JtEYsYIEscFGPftiOpmSh0gGFb2I9LLwBHcqEQzLruqoWFRNXduyK9GHJu2N2gqCgNkSZ0tFZLFM
9ILYcVKmH4vESDuLJa3/pY3S/KRXVWUVRll8NlXMHa/MPLvOoyi0wopGreWBDXzZFpq6KrWBur6P
RWRpg5elNmmC9Ngwq+Qjifxrv89oZyU1Ky8rr/xUkVSjjtkQeJFhT0A26PUwWKjl0XkSGPybh2r9
NDA5Ph/8rhF2iwI9tWHShScal31qtT0fHNwamjNE3V2hyuqmRhoLrDatGPgEZX2ie4R8KgPcxkuP
aTi0hiD2fkCKTjZWmJXa9zplqVMUipzEeVac4FIk92FTmLDuaRrfhMLrmNWUun8qPVnbPbyHJXiO
4qps087VW1kuMO5w4yZweKdvN63PS7shgeemikqnLsRV4Gk+cjDOq2NQNaS1MxSZFq9Y8rVLUXBG
pChuDFoZy1pEGlkoMx1W3Mylq1AXDYsm5v5C6zq0Iippfyq/KAx7IBWqrcwnjb/oqiiHxdG2bu83
NV/I3AucpKLpcQZftUABSXDhmrRhVqSiSLOZ1zKL5UY3WHqVeOAXalm6lGbs+nrdow8txboTKokS
K4KZVC1o1Qq17Cjrzs14GBLvQ92WVZpafZj0mbwPvICQ4ZtqtY6lgSUkiPL8jvRpVFEJB0zWdYEu
q7hK4+5UhOWwbERdeSepDMPCikiS3yCm0ZOop7S2a8DAs/oSiQ7gSjl3Ms8DfVglcVuC/d76yJZJ
hb2roEQmy4/jnrWB03eJqM5NVVGYUa2XY9XaNejChakFkXfVwNIxfbvkBYcJR2OVLrIklMJKSlBe
nts1oWlrHkSTDKv3UKbDWbBemoKnWbfeok1YkrrKA6tgYWR+Oth8MEBiZiTWazsNpJaA8dn76lqF
Wpq6uR/yn1rdsBA5KCfVMtR5zS8NzfO904yyihmRnXWqHPpjBcl/GbiFH7DU9VQzlAshVRYu+sRM
+2OkVFrYBumT0Gad0SdLGZahZgOs5ItWpAN2oMg/Th34h7SrJEKagleeZV+iNBXpCZWiStw4qMyP
Q11Ruoi0nOCzoA0UyywWkKBaerIpshtQxvQ08gcSL+oCOHDzKvEHl+NuEDaP+qK9SHkPU1uDpSId
D+P6VFLDSBzfo37tsKwBOEOmwD7JhogO6ySGHhwOBwZSh/ZpUJ5gFOrHfshi0yZxXFInzEPPGWov
NiytlYW4jrw20m0altEAvn40aGfIS/QFLjzfAHYFK1zcB0N+EoS49d1Y6EFrjd+zsAhFBtPHp6Xd
taE2WFUXat8lNOTsNSuEdUQu8ZCFQ2jxRtfopz5pSX1pFqLPnUyU1YVRZ6CSfMViIBAphbflhQHO
vg04yYLTsk+TbqFaYwjPcOVXn/SIGCuj81LP4hgm76LOOkZdZQ4hMF/jKHUSWsbK5q3nhjgsvyVt
C5ZF5EfNDcQU2h+FDOhxw1rfc3lsIGJl3INxjCSPukUmG3w5dAXVP6jKwJ9wpcE3WlNT3K5wzzq3
IWkUHsuOkPYkY74iV6HGxG2GynFyRlGplixRgbruer3iNipbwCZoM2AsVyB0z0CDiVvKEczuFKSk
dOBAtC4/qZTwyHUk6zj+SHgm9JNOj9r6ouqq0fgM+u7aiDWzgzBPCrfO82ForI6k1QC+KRsffmS9
BfkEfBUpvtSNDJ6iLg14VUGcx4Mt4gaWTpH4cfghkwyWvKzBKvDhGshUUmXBVYn1XmYWLQIEcLey
qy9SLSiUFaK67BYddAqgbt+UZBQasJhseCIQIJ3Ao51cZemtB6c6nvImDLnFAyOGedH75qrNKLDR
yaj/SKsOqTMfzNzoLC+yOLrhoC2WKkP4shR++Q1K6s3SCvQgJKc590V95gW53zi9ZGULBm5PlwWB
12ojVvZ3cRIb112tUH5cor6Jv7Rm6qvj1NPSn/0gRhkSlknggB/AqRuSPlCLwkzFFw1B/CFtCx/8
eh3EXC/b4GOYV+pMpHFkOAaRxAexB2EZqwmIuJWR1vhuQjJYJoPmUXGiZzku1ykI5P4UTkOCtdGO
EtuNDA3eaNcMjQtKpi3PsKyJaXsCwoWgaWmDwPQuo+9SNOKT1oOZfjqISuL7SmW9slKIuDYnYUtg
qC7FwWDrrW/6JwXA0tpaLMzFkDdNddH1LLmJGnDDOVPguHeNcTy0JoATI6yGZZHEeX6RmZ1+rlVI
z92gzNLmzO/bIrC5odLgE1gi6h6JDMQIiE7VWHGgWmWJtuElaIG+vEn8EodfcT5Q3lgDWGD956Ki
moDBlCfdgGmxf6p5Rfsj8JHW2AlTZnwSQiD4Q6c0b1jKulShGw41TNKQVBG97uJkMC5Ts0gSqywa
ZF7oONA7uwfrRrltUABqLc9C35IDS0F2KJW4uKOddJqEcLkceAmzP9Y7nzm91yNle4Uyyy+t0eNP
USBhroGmE7cw11N1nYkMg4AlhYgWPA3M1urqb4TXLcdWHDfss0GysnVaw6/0C91LePOx9JSQoNxh
RrtFSAFNcBz67jykVZyfM1kE9Jp0KDFPPIhlwXN1neZfxFIrWidVHsgMsMbq6iJJPOBfithfqIDH
gdN2CJ30pQ7rvjdNFloQy2QXD1bpPx0juQjvZK7yn9U0SPIyRvKf/8cjKTuyGwg8oT+ewxVb4ZS/
kiLM1i8DMI85kZHqVzgFMhg6oVB0MPZOIGPX0F/hFGhDBrkF+DwGTcAreU5ucNjDCR/Y4WdAcN9k
wNpzOIVDR384jBiO54A2s1Cq8LZwypbTAXkNSKIAg7B/TAfnGe700unwJWujiPLkSsPlNz+sQCrW
yQ/cGycJTjMrMgdbydplRmqhhi0G6p+LHkKcPAVN0qblSRqWqVX7mi1ZTRa+gRYopzdt2BCXs7y2
G78/R5XnmFoO5gWubkNOCjvByXlglIndaPI4idUqNTvfqrF+75FQ2YWW+rZvdGcdb+7jGpc2j1Hv
IEpds28MC/fZ4KJaSxyZGp0DC7CyWS1qW++RaVd51i+yvL8mvWE4xE/O6s6gFizBrxTcKchg9Pc5
Mk/B0y6csssKy29UbKU+hagweJ8ZE9eDwF8ab/CtiIcxuFtaayWsgl/NKLQHvyAQ7vU9i3kn1K8W
Pcs9qwTZZJG2ux0C/6Ji2VnhFWcBPJOV96G0UkI+tmHsND7kKeKMXHiYfPL6pFo0sDHXguO1IJai
GnDXYo1buk6PU9qHtseLL5D+0WwT9X7t20ZThv5NRaLiOxgEt/2gt2cVV1cFrdQywS1Y/aX83vkg
9bN4mRataem1kVt62+eQqYDwd+Dxi8Ant7RU1KrD9kqDkJEbx/XgEGPw3UGAwvWl0JZaXn+kWnBv
JF6+BOPDxmBSnOXmqupWYHct9MJcqZ7my1qiZVIr35VFm+a3AgfZTYKSIl6H/nDfdpCpoahyWV3k
zIplwPlK4ujSg/l9gqoMHXcVya+I9MSVnnrqtBeerYvazVpmHleyjywUoNAOdNFf0mgAWRfmabsE
t+1Lm7UOC9Pggnb5GkQ5OUa5L0pLmjwYHgMJ/7Q0/F8o5yBi8rqcs6EF00P9BmyK2SHtgPZZ2kGF
nDG2j6ACY6ilGwNFv6Qd7GiC/iIQKIU+9pCk2JB2GI0JYOjVySC+PNZSPks7BkcRcQhrE3Os1WHQ
sPFZGj+FZ3+XyoWY1SQQBMlkCJ7BocAQ44SfMYL9UtqJlA0ia4zmKmlCcPNtWeboNOmwfpoNEBWx
IzP93Ec+sVinnfMMolSRkTZWG5lOkGnIwlX0qfOrs5h3Nw3qznsPR1YRmMICCwBMuXAAD7m6bVNI
7KX0xAhNi8LascpxgXbdqVnUpt2B1AyHBJKhSoGv6wvLY6JbSkp/Uu5XdqvKzEKQcbXBXCCujLXS
Gjhki6KI23oCkQOhgm+96QWWSvTeFVWfOkgWn3SzrmGxa8SGWKxNiwHZfVtZul82tsy8L4nATkXM
3pZKOUbY/jDrGDJlZerA8SF3ZcRCuzHDryZY4xbEkE9ox8E0DyFDmJOvpq8vOSsG22vpIuBSs6hK
j4nZGE6T82PVpanT640EV6370efej7TqrlAelJYBcfgQidBO9XgZx90Jh2DiAnethIiyllvcL+59
yIc7Hc6+FrkRWTRoqOPV1dr0yHCp4n4VFoZ3VhshBL0MklqBb7paxvFHohgkTiFkYoejcZ2rDjJ6
bXyGjbL5xkUjQcJBQcECQnf2oLPQ1T2WL5KeIjuBCIrLgwCyU2IA0UgyddEj3jkxRLsXPA8Lx0u0
3q5gNltSxYGrhRDW6VHouRlS4VmI8mTJRVvdEKMZbtuhCZwcgSsUqwRd9GYK6rKN42+5bMhpyJj5
tVFp+hHy1+V1YJLwhGPZnZfCo07TJ/kpuCpQXqDpenTutVkxeurdeS2HhFhDirwfHQ81DqalVp5k
BH2Ic4HdIGiLz6iHF7/0ID/xXYuE/1PnSe2mgoC3WfW1G3Nu9ymBDEhU1FYzVDBvJPjAilxU/QBv
vXVLSGaqrPwG4Qpha2V9KYOsPfa8qlsw1HSgNyDLyoygsfSuuNQrUi3KFEE0V1ZuicUZhHh8K05C
8IDpMMYFReYMeoydHPPQYWmPFnlNg8Il4Q2jGUThQjO+yGFb+1lc+82tgEDRiQkHNFgB+FJLjWdg
dmjyZ0c87RjiCE7H+/Ax4Pr/hfnY1fZ1YT52qMy2pfhDK9zVY9UNVMHCVgc4ygDqSqD+YLz0S4rT
IwQNlUEcQ5AaurxtSHEwbyH4Oh4CCqklCrL1v1L8YcuTgIIh6MkKhyC8SYqPLR83wvljz24oHhiz
f2OofJoD5HAeuGlqaLiiaXBb0qSyE4jiWxkkjh08pAtemkvc5idGr9lNJ27TvPctVHe5kwrzU8T1
C5pXJ2kUQZ0B9yBNxdJMuOG4lJJxUeWwunwtkydVG/rCyZJI+wFhzhRmN6ZNcMa8Ju1sI0OeZSYs
OlZVFLppHdUfUFZQJ6/NmzYGw5k3/ZUwEmx1GXWKYIitsss/9b12mxvZZ5pDHB+RIbGRbE9Mrb8K
Qn4KByE7EFe4kwMYo3HWWn6EPhYRuRZcuyWNyhzIEGDLq+KLppCxXXvZz14OkRUQvPB05jtEptQ1
SHcFUYBVmUSdYzS0dvo8uIew9+BUyFO26Ljro6q1izzAixhaN3pQcqP3J22Xa3bQ+me4ZlcU1EiN
g7OhZjbCkHFoUsipYdKcQcjxS4DEN01nIMATCtJIuZWR3sYhpAFkNHyuZLtoalxcYq910yL/Cdud
nUaGH0VdNFZD0/PCT09w2t/Gqj7T8uYnkgaY+FrPbAKRZFCmTWNpkKUBFRofl0orbBpAlLfPieMR
VNuQhOFXpC96e+jL2G4qsH2DvP0f9s6suXIbS8K/CB1cQBJ8HJJ31XK1VqnqhSGpJIDgAhIAF/DX
T7I87q62u2fCz9N22GGXdKW7EMA5mV8e5jbVEnyOByLDcwTKHPSqbul9VNDJu3AcEq7vDraUXmYW
P+9YcAJMcRxHfSkb3cFIq9yNGPTQZ10cj+3BRg16gKiBHGt1bkwEJa1us1AFQS66aU+xOdehxAa4
EJy/SyG75ZXHqs7wM+F5YDNUy5zNYoozEZJXT3OZ68mGmV+HuW/SD1fX7Aau5bRjnhn3wSji62YO
j73s9KMwJb0NbKuu/IBPHOiILEBPHMW0YJeMG7prpqRgbesfOlLZfYPr/3as2CEh9EQG88WLoqM3
Bl/myfo5F8YrrAn827AP5HXfoS3jaYyjJGrXrJwkybpl03ApKQ/O973bfgmD+ypQybGqp0NK+6Ob
+bmtDVS4IXhlYRwVdeeqC5CjOU8junes3Y8W8JQPiyGP5u7NGbUPpupFcWi5qYVXIfB5ysYBIaMx
NI//yxL+Z8sP95P2KHabCG4lOEDcP/wPUEofLlPdkNS/NC38/x/oA+f29Mu++T/l5a8swr/4FcBt
MEjcwx4Jc/YPrbPr+WJkFdNLbd7G+s71T116/fNX/H8/o7a7XP3yXv8LYQXAzY8/9Rq/PeyXXoOC
A8EEBdx2hYYJPp6/n1I4wBIwJ9ADoLj4Ab70u7KCm/SA4QR/hmaEgnHBl/5xSiG8F2LEIaZK41bV
QfBXTinoqH86pUDCgExF4gQ58HQ7D3/tNdjCh3RkYrzIyvZn1qT0RnfLFesaYFCj/hKjYB6krY+d
Spr1QygzkPvROZhna5XDt2nuU9F3ma3dveX0rEyr9kMDjcFfHYCL2ieHqpmAdPViz+tJnODqeTnv
S5pBd+UiT6eh27dJ34yPjvffUgEFgMQJjBhYKzLvA0PP00LWcwQqE92Q24qssakLt5VdFvUXT1GI
VVtJ5nyF4syv01OzFWz9VroFWxHHfivnHvuf9R3bSr1+K/omTbwi2QpBtZWEzVYcBnEKHRb1Yv2z
cOR+Hm2lZISakm3F5bSVmVOzLhnZSk+zFaF6Nrf+VpZa1KcadapDvSogBgWoXz3Kr+atoLVbaVtB
Y4Zew/J5NNAOtgKYlwSyg7b8s5xV/N2tcir3QzSIDGYzTmhh/GOqxwdRh49Met146mNB7H3ld8MR
dnHeDSI+DpEz3WNsvVRnYiyTKQuTkh5Cf55kBtzwsy7H+bSlkA9jV9fF2nZ3TprbmPbnrhG3gxdc
MUv2ysxn0saFWqHhbk2eXPOo6n/MXfBQ2fTbfzaPn8z5ttP++wIX9qj9+HOBuz3ol60DjOQ26nLT
HYIYh8MvWwdoG2wA+BsA5XYL5N8ZN4THMB0Vlec/FIzft45tBBe0hRRqboiboaf0r2wdEEv+tHVs
CgWIOWSYcNu47fn9unVM/WLgU4vwYhbq5esynWZHUdvKMISuNexVGIyZtu5rEmBpGU7fdciuberq
ItqsKLng6rRaXNlZeVnndTdEejpjaz8Wi5luFx2bgqZa5UqNby7tvomK7+CPPtRUHjpnz0EYPAx9
LyEmOugN2CqwboPrroXTy0nybOpU5U3aWphE5TO0k68RHPAMVuKSx0t7iXh48ed4lw7qnDTDqY7W
8LROgEPHOmD5JJYDaDnw0v0ntq+HcebRuePlARjnG6scFI71y4INL6sDlN0h3OYspm1XhH2Zewtk
5aQXX2Z//F4vE81FLY7BqLqshxyQtQLYgp1sl1d9eFu3w7mpaZjNWn8Ok0A1TpTN14Zdqlb3+cyH
i4ym/ry0Fs5OVXL0qyjdaqF5nnq8vDWx8gqQBGucDXT9ZMFU3040eV8rvLl92Yr7AL5RJoz+ENgi
bqRqTlFK4NsEvTuIzrCLQYGzS5IZn9ooaKa55XndoiaUvBPZJP34ANmEZ7GG7UaXhN97PPQPay95
NvCqydou5BkoEZVVbch3nmvkMQyXBppEFRyk2PivFTRTvMBt9JSCaVn6hb846LLUVChR+3JP57DZ
6dYCZVdhu+tCeY1t7mq18lJ3/sk6vhZVyz7LVcaZTFq6I6ZCOzI6ufPLxB3Qqzc7TwqGN8J32FeH
9GAlWn+56PGQBvD8Wq4BdMEtf4B2yw5jH4kdYH959LyyLKapCQFFh+S+wSjprF3xSoclRgEYe/Ge
cWJz6WaWOcX7HYEHD1Otrs6RMfOBB+LJBeZuHL1uJwhzmbL9m2ogolUiBvcxpPTcp9C0OcrOzK3b
W1QF3ffZRPK5A3CQGZF2RzcC0gwWrrKm7PxLBDUqE/1aoghN8B5rMh7ZDIVZzHQGFjFWP5A6SLBX
J+Vu4i05elbux6jZlWWXglYCbdSmnc6AqLQZoxISjpxZofu2yeNJxverv9zLZXyI57bemUD6Vd4E
zS2QJXuEq/1pu/XN+pPY294fsyZt9E0FhzIPl7ho9BCfYjeX1zFJpgMrO/oQkPFLlSpLCs+OS3kQ
weL7WTX27zOeVbKSGh6/bDLDxHAglXvyyezvF2hmuTel564NYtDrzs/SacRpbhwSI+sKQofvqq4j
Z0K9YxWGz5ORNkcd8dQO8pzI7m5OTE5IcmOi72USXI0qnl5c3XzMsb1eKEHjAFG/YPM4X4/AU45p
ahEf0eideO1dB/htohdX00Q/B9Acub82N97s+dmUJl9WBhivkiuDB9L+MAkIPQA8JyXdPUSAa0h/
oMc2WbBrmTrUlQ9iYRLQDJ1asgnqGgDb9tQZeEuJCaO9c/gI/aG9jIQ/Nkv53VPjt55ie2BePxVJ
ra+q2X9d6jjemToE/GUU3/ujD2kqBMFI9W6SBkLw6rdZY6Ybw+avI2Z9FOiq7tIlYZlqk+4E8Rrf
aT2ZjXUz5b1VV6P0jjB+u3xCfEV6arig43GZBNyTkSUt7KI/TBmjo5yqAuxV/A3lQxvtVLfcdIF9
VzQ5dWP0Ar83OlWtn0m9voFSA4ulliNedLMX6H/h7a9FEye3QmKXSRXJAj3ndQpFdVL+kQwx+rSh
kEEFoq+a75GBum4CE+Zl1bxZlh6TLrz1eX8gdDhwMFj4TPOl8fH/0atgVZWbavw0VXIHqNPuJuVO
tqUCAZYmJ7S+BzdDcBaMeRO6K2Gb+zYlhV+JpwYgsIi7YzI2XTG21VNT2RzQgs660iRZi0RTCS4Q
nSGa3QVcdpCjjP8ox85lOMeIOxgWGHZXtXWT87h78Cqtd/+pjX7WRlvB8u9rowtm2fF/URxtj/q9
OMLMQTg4yL8D1qeYH4u+5vfiCEk9GM4RSOAY1/U/xfHCv6UUsRMWhRiCwjD+6B99VYiZZnGMf/Bj
Nz3xr/VV4R9DTEmIv7DmwY4DSPb/CCMPMXb3OfHKGw2bcReuTZ3Cl0zLKwI89qpLzFRnxHPjdyrF
GS3BN8b9Ne8T+R5OkV+QOZqTYyyadtoNoSdPXo9g0SIryfMgFuoL1xMsEuRSsQV1wkEWQ5MPKb0P
9SttyurDjl6p90EXiSIyk4K2BACtXORejJUcdrYxQZo3mk77Qcs0PruEpFlau8yUY5pmddVj7UuE
oAAx6U/C+AKlD3Z6VJUTZLz0B1aHy2LkojISynTfwDHOgCe6DCXJuRn9S7+qKxN5N+s63/vhei2m
9FiG5Jqi8vC5OC0VAk1RrJsNsonAQk5IFxgqrnsaH7ye3MlpkA99ya5sL2Qec9blPDX+dWeUzgMy
1zsXS5npnsgiGcbLYs2F1AvLZk69zFF/tyqFNoyDZs6a2ELLqUKnP+vQPlaN94g5pm2UT43t7shQ
rzchrfft0O85uqsXVU15Ap6tBKJ5M9EGh64Sn9jxZR70Cd8FimXw8ovUhe0jiaN537PBIj60BoXW
7aEb8HL7JgayZhdkKZK4CHwAZxOfy2PV4wAOI7O3KPNw5G4E7Zwbz+GATkdUiAHCCxVI8DXcTzGY
Yjf29NnAGUtEDbzGNWzvNbzKmr5FkGnV2donPWJNYyfBjKcV6umAm9w4LQ+/LMX/W0/aVAnGMLEA
ggbGT7D4D9EM6YnZq1MjbwNP9PsQeOOrcHifZlejSPzP/vdbb4he6t/vf//Vvv5Q+l80h3jU7/vf
dndA3MMmiHD3sYBFm3L4+/4HexsYD8U290dZif0NdyHzMKf5N5v61/wT7jHpYxggshu/9Y3JX+oN
fwZ0fs1iwPzA3oPgydalIsj5h95Q9dFaR640F68Jn6C6PwYmumqpua8XtGvzRMWZeyhLfXqUzsmi
retyX05YBHYZy8wb+iFLHCpbYLUPHkXhJ/rEz2Zq48ys/r31BoRnUvysLlFi18jeP6VcB7C5m0ed
YBWsHRaor5YbMngKnYlEE7VOJCdLVBaJTST06ICgP52HW69rn2AuRDfJtHbXMghspuJggC4DWCRo
kgM1kITYBNk+FijEV909iY5BLyLIAHvanIY+QqzTclRpYG8T2n4gofEFdDvJmiA6qpA8krWGIzIY
7IdA+daIvyG9JrMhGmF1Y5uCkyP9a5+HPybxqkMYBPyoFBq9eRqRVllHiXekbmD0LHURrKbf9U6+
ziuU8cXqH6Odz77t5yz18IL0VJ6MZncO2eLMdTuyXo/WPy+UfY9kfFKepFnqUCemSXStuUYZsywZ
nRhyaot/QSS4ybg37nzm4SMJE5NZzs0p0dhYsSE+BHym9ykR70vQ3ZuOAVltwiavfPg0waCCzCST
vw9jQFl9qeyuqeF2lPXsZ9pj10ElTm5EzjPSopCse1hqA3hmHX0cdgjZMAOBMU6RfoAZMuz4YKdH
bj0UhX76lRMlM/jeh8GTZ1MnTzRdX33Cu0Pr6swC4JGTSAsViDrDaSiyHl7A7E1BHtvhHPp4Lase
DmnYyrwu/c6766ntHlk54BdrA7BJXVaq3ysFcy6YyB0u8NdUVQqGEe/OovZf9DDdaPTaBUEnVVRz
+LHM48eUOLc3dumzwbDyCJD+rcUShdwQiLyGCrmv5vExwr581TLvPEn5rV/Tq3XAwR8pcVAzuR4c
jnLjMW9vOZLOqi7nDBzErZUrls/0JHj5NoiEHbsQ0QVJ2sdyDQXOmPHrECanerD8yCJ1hsrXAOiK
YTOa7hTz6FkLT5whN8RZLddH/Mz5egBjApJZqZ1F9DX/Sa1PGvEDP90+vCV0uReXceGX9KtRUufT
CnTDmK47m2Bc8oWgoRGuGtB6wN5cF6NeuFfyYyeEvpNwZ7M5HIqlc/6eje0XJKFlxq0AKCzR5gaq
wgfUd7uykSOg5brCarfByVRKZErGotDBePJW5p0GJk6JXzaHGM8lG+LQZdgWbcYAu6L/WzM1ICRv
h6MkcSHVahEqsdCOG+JjpVGbA2pfUBGIBIl7xJ+pj1gC/gNNxJ0E2oLa49lf5FWkx7MKEdym+nFK
MCRgNe1BkLLOurZcs672b6dlfK7gjGaNE3ctHe9rPn9h9XJj2vUFHhjIMYQqs1bJLwgeneniHZ0x
TxYnaTaMnZdB9wiztFmuazPsEk+rfeuYQVu03JQaFmXnmt0y+7sk6M/BiGLAmfGTRuX3ivsXpLtu
EUa7AwYD2nAyb2UZAXyo15dGQFOgA2M7kPffTZtA2XGAb2zQPylBrxbSq93U4KpB+tDVX8JRRseK
xl14SFkU7IRCbiaqVPGfI/znER79r0f402/Dkv58hm8P+/sZvsFmsQc2AN5cCo/olzM8xBC3MAoj
P/rp/vyu7vp/g1OY4lwFrQt+bbtx7D/UXfy5h/gy4kPM2/i0vwChYajJH9VdChkZd+EJEEdieCpb
g/NLzg9prSUeBtPedX5P6Q0WfLmVoZXXRogjzkGaLcs0MfCm/fswtd9XtYrDQrpHOLICzsObm2Yk
jkZ+1NB6BzDKmWXI8Yw0ufUsWFkiR2xR/UKzUqVTEXEn9kEfw7/p+S3BmsunSUBpK9XFOPuDxHWf
Ren8g/YEXL8y+ZhCjFGsulro2qBuljekH+60p6JCiXC9RRxpKmyJryVO/4Ccih181G8TzOe1rd3B
C9gbWfy9mK0PlI4fk8Tedms9QM4TZRYN87eZkefGuiaXtf8YRvaFY6lgvRB2AF4YXzj22R24aZuN
Ua0RGuKvSbKqg4lABbBU30P3vCg6wPJfg0eE0xHzGKv7JfDOrRd9UNseQj2/Glpd0QCTWzQh+cKC
K+Sp8N3psfX0yxhWJ7WMcdHV/EWZ+CWVb+GsCo+G7yZN33VgLnqtvkZqea8pawvkgNcC8MkdwZPN
dDQfW1GRTCKBhxjHyPeurh4hmd6OPbldw6HMQSEEmCYB1TMaWIsyBAGLyIdhNXv0jkRzc4XkA1o/
AriCL/6VFDE/SDLG+4E3gBBGb8fMgvAmOQfzoLM0sWem4Dp5aXvpHU1zVw/spPsuODg7H9gkVaGr
UeQ9OplDnQhdSA+tbjyVyy4acWj6Db6auOCosb2WLNk31XgXeyNgvQ6REJIOB027HKkkUMB1fQoi
XqMOmjkQ4hXFg6dPLcE8Gh0AEMBCK/NZTVdI89wKfBRbxfQmiX4AGHiHsN+JywSWQCAPVKrn1tJj
6i9dVq/xs5VD5rX8i1EA/byA5PUaqCwaY4rMZipwsK0vnRz6gmO/LpP+KxlHUzRmfiap7XM8FNNc
GjLswql+dCRwO5DzwFN89dka0uaV6m+oSy81Bf5j3YLZIgrK5DLNu4Ut6pLMgMyJ1AznWhXkZZ0e
Z4tjuA718mpLUGee6csi1AasYy2/jnWRNNVzaP0GV2CV7LDWCkqnMUcc1B46YzE0Zdb9cfEDxDKV
d7WF7mhH1gI5r7BYCbl3kxQ71w1rkQTtbdUFOITIEqN7DjE3g69bBuS1hpCxXWuPNDwT91l7IOwJ
1w8qMbvQLbJA+BdTZtQXBCg/PYjrEHDpp169b6lJr725ue2de0RKKckiQwSQeYEjuh0exGheG7q2
WeVOTK1nOqYNUsQLEEik/pGNoblm7jMw+juEvatZ2fumJzd2kqiwOlusOIzDdFpy34PIEnXIesux
9tCtCxCm1n6C24dausxB0SzJawUQHf4W6loFTTpQGMKwzCw+WxgKmcGgg7yR9AW77gC1A/Xh1MTv
1mcUo42CqsCGfAUGEEaRGce9WKezLcMpDzR/iMXyKquIowDFvBA7INLTc7Athg7HGP7qICro2WJ5
tNGARJnsds0i5mKoq2DXdZHGolNYEiy+aXQld2opb1UTdjkdyyVPIBiXJb2oPn1MS3oMF8fyuMPx
Prrmoez7W6Skhz23rHmBOQ1Cf56uCVrKfGy2hR3Jr4BGbBZPM+Km6UxzOBdvS6fibKTVfpq7Mzb0
B0fVdBy8FnGEYLzv6RRkFSiVCYGQA1j3TZAOUcbH6qlkqI3LmOb10FwbMd0Dde2yADNsyio0iAJr
f9fxBo+dpscoluy4duMbysrNuNPwOjpUybEcSM5X8olMCc4LoSugq+Qe6cq3OMTaHpoEcHHLSN4s
kJu6cu1uPTgqmVbDi8/aMse4AfhQbgHSHMCHEgw8l8KeDXjA28vKA3hk1duYVl9VjwtpLru9sxxD
hvCRo25vdT6HIdqIxeN7OKl4TxHaPYXhfEw5RRhZ0BqLBgNrRozsEK6+n3Em5lYyeF4RmhgMe+Q5
gFxcbpgRVIxIQ4M8m6rrnqxzAePyxpFQIZSSzDn35jkjdfwcWXdAhPRHpLZytP9YfPw4Q+VLHNsK
liDQ6njsrkERDbdJtN7g/Ed8Ht4FRpWdbNNrJEqCDaH11AtYuuZk1uE5DLDwmy78Shy92Mr+mIdm
n5byGYe9d1XFpstw/qPa5pekGp7StT6GxGAiFogtROgBUjgKuhaRlGTL6KmJAg7T0VQESfJeAcAr
Wq2Qdlb9uneKPfhlO+yiSFAEc5du1/fIgSEzUp487V5jgovBiinYgyF7WrqkzlhJzhXnr1omBa8x
CGmR/UENCo9P+jtVT2h/4GzuiB+99xhqBFarQlQSJpcc4jtvjL8o6IRl3yzHlYef0psT7LHwpoIA
UWe2dJiQkIDVtZgpgKLb4fKTvt0GAaTopv1vMSzmlNbVDuO52gyGmikwjYwXErpDHhP56iH9Ulcz
UuFVKfNh6q+qqcFbbfUBeRbkQUMErEevPkpuF8zTAFvn2QD4ZFB2OdqlZgdv/4fgZAFZz/V+8sFz
q3aawF+7HBnUbVeNv7ZQfjPOyyhvB/Ik9Pys01RlXZXmGHAGj8qHmT0ym3OjhiKg4hGs94CmyZ5G
Ppq89dJn2o13vJnTPDR24xjhdwwx1lM42f3CEUAK6u5EUDlhQUovnwPzBq7xbglwnuPdwhEij0OM
Vn8dqo+5n3LSx5+xR55IiPkHSZtMsGxqqJ8tcqVN8D45fYXxLHPmkujdTMlhYBgN1nH/XHZhV6Qr
7O4lrr/ytjX5sOggZ4gUoF3do3/1GL9GYUBhQ8IF8kd57iPt5z2SA7dBpU7loPE1Vn/jJIJrOcsn
XzNooiN5SIDGZgEmRtB0/rqg5spisfaZ7VW3Gyz8MUyd4FlbD3g5dECOctZ0pxS9YoO6YwxkUZ0g
zoV194m7CCMsNiNxyutw703jSz9h6Qrt3ze80zmuhZswruyuiyQ8rbp/jCt8RhjBAHZWLNindXez
UN3tdUzPPrPvsnUm9yv7dVgE9qDRe16b6ry45imgpC1mgy018d6mCYgtQz44S20yF8DJr3uj950H
4dpzGDyV9hCsbCw/UtTGoDGhYCzdx9pqZGYhbHG9noIAw+6kLCBjPfdTX+cGVR4S5agzB1yZIp2T
g2oqPMkxOXiL/owFSrpELd/CFjUf2u+8auTLCGuwhOEt6u61ZPWbtCNAx+HcVtYveLtAketwUobD
0Q3JwyL83RJtibpBPS4G6jZNTylGY0CIucPIo9xVcARcKHaibHaVnq41Yt5jhRxdBPnlbKTv8oEn
QX3fdGv84lQVs9uBRBP+ILLwOx2L8zHqyX8Y+t8inNuQs38vI9+oH+r9zx3o9qDfO1DMJ03R3aVw
vSL0E9u9+X5RkcHWByFEZqCxwWZw/aMJBVFKoQxug7d+Io3/04PiXhNw1X7efyD1fqrPf6UHpX9u
QTF1D96M72PSJCAnsFG/tqCDGjBQQGBW0wCtgh2HesaEqii5+NAPMamNk5Ksu7pXM0zbETmitIAP
TMvCYYQAsjFe69vHOfZ5+jkzc9SkC8vXvm6lB7Cga8gVXrTBxD440/4ORQfhdxRj8jBcZKACe6A/
BsuI+SARlnHeYFpBJXAUJpsL73Aw55h0kYLv0G5MVrjf1SCOYGewzhrE4bNwwbCp44CEIqZwtDhs
42Fu9IXTZhyQVHE4rTjOa8hxLC681Y7kI4ID/5tb8/8dzY284H+VX24+Olz7uBvev7j8/1mAYRjX
gBtZQYf5bTrr3y9/ChMFWCzGugLFDTZ/+ffLH84LOGp4u7+tixCyze8aDAwW3AxtE182nPcv6C/w
0/5Jf9nQ8Gjj6hATgU6KOyJjaf568SeN5awNOLn4pMGlVvk5bJCPcob9UEewFcfQ20e+3GvH2+bg
Vb1+SHVL7oNkIqCwEtUlD5ynLctSjA0pUEboryWrEveOlgZ1vyhbVEqOHuQAYcQEbEULg4rZYJLt
AdDf5vvODIOdKowA6Um6137w0vW1986Hps2HYOn3SiRNMYN0zCaO1IBV+N4wGSiOy0B/B5jnZ8g1
s2IVU3Seu+QsJaJuc6hPkQAwZ0ZyGIPxrYUegmYaUj1CCAEMEwQMiLvBjNw0a5NoJ1I63bLO20Z+
SL7D1hMetHMCxkYP1LBeYNcw+LMurXeMB2sWlLrfreFcwHo1dxgeFWbABZtvE4vco+9/rQCbZYbU
t9XARQGW8l6uaItRMd84TyIqMleXuerfTTXvY4a+HCOMIDZP0bxL2LIecG5X5y4hURaF1XKqnfF2
JhrQN2CC05yxxYPU2rMA+cieXFCIuCyCyiwBtKGYpOeBYjpvPanlfmUyQU8OUGWZPDRzQhzTmvC8
JIh3QH9Yqz0h8O0xfKlr4MdLjOnUJcqLNUiQBlpg6BSGJURnErpGkqVI5D1G+LUH2Au9t8OF3Z0w
42U6tEZV5zIm7KaiM4AWm5Y3dYwHdzf+MJb3/ii+YSZWlIkufuUIrGezaYKdT9NvNQbR7Erbf6Jq
a3NL+HVTClBk0l0ar1YoldpPsUbFgJD5xbXU5W1CMYlMszpPoVplZIpPehqScxAh4DJJ94g9Fx9T
2x6owL9SzXJ/iUYEyn8qi6DEZjwB+1Nz1NMc0BsMMyNnFya5r8ImvIsiA9hSI2zumQyx+TzARKCi
l429Bu7noe/S4QV+XbzX4KivYqpUQZQ6KL2pAWwdD6Fovm+JFOshXQN1w5znpQ0zYAz+PqIlu60h
W5I2/REQcx3L9l6N43NJwhvTJ+BaA9LfOmBrJxBDqMnUetx0sqxFCufJkyVG7bAPS5arqkmuKppc
O6HSXYLhc8PidrFaMX+JXZjrrqMW2ulEriK/um4F43k1RuVNx3pTANrDuB/BHzELh58G0Zy0nI71
gA+JYbJbP2/MFIC/LKjZKx+RobdxdVkmjDtcOkDgxE4t5jcOuR83p9RGO6b1a6vBR6jazxX7xDgO
bC3tHkNH9j0m13jAy/Y8QJQLqRjRy1My0at0XvLZBxombAThYGmeWeNdAjo+x5OH8w+MbXwpkYQ7
Y67tZz/4D9E6npKRFSGmVMUYDJd7YrmKCObqTdOriMMDANKd4RxzuSJ2Z+rugangR4oZZFnbhB8g
hB8o5KYCLMYNYgZ7UtO8x2eMkX5VTtHD8XaCF+X1YCPb99W5JwzYbBFTkieAq3erWi4tq7NE8k2o
OgKUzbGR1lsZet92y63DnN1gdaeu3Bw8wPIrOaxjfUxiL0eM8xibZU8w/gQ7UfUeM7BjpD+SMc1r
KFquV5eu92CzeOrgY8IBxCV+F9imqCZ+XDxWtIpcT5PDbK3qdRghrNZLjrFOn3Dz8xJjoWnq5aVt
PnTzocrxYbHoaBlcIg+A6dy9RENSGADTPsXvQJIL8+UuyJZgdFa8p8gxR3x5oEv61EiQJmnToDWf
vUNLdZ5i3k628W4IPu5Z+t/sncly28i2RX/lxZvDgTYBDN6EJNiqIdVLE4SsBn2X6PH1b8FV5bJl
lx01r8mNG2XLEEEg8+Q5e68NDqiKwN2G65EzDzSWlXAGFwR0uMNath0m+aBqzX6ynGshygdcBldB
N57a7BVg6FulqiFdFjrjRrSORLmu/XGVBObsalgGRnhitHpedMYVVON3TWkYYDHbAvpWqupWcbut
UytrlWl8bBVnjaXdSn5T23cxbVul5yvdoVbbNa/iRe06a82o94Y/ckHGvSU3bMjrFVDeHMSE/tK3
xQP/lLkecCGPtYl6MoZubQMHGnPa53m9zB3lQGdnNym2V4wA+jqZrEOFTSIs/WqJqwSfm7A3etPd
Z23+1EByHkt7BzTVK0PTXxaN3OaOtVMH9NwQljda3D30Ur0vZHxVKNrGN4d15LfcO9cLEMXajcXT
aW8Yop7yIj2UE1pKpb1OI3vrDP6lb0y73Mz2na+dh+CDF3kbrUEnHUtf3fGCAZJ2TrF0zwxteCxF
Cu4JuyC1+q0vxamW9WVeW1ftgE7C0errdm67cc6FEAT7w0rPUguZlVOhokiDczkvVFPxMCbNQZfW
poR3hCIA0Cayon4uevKDX+a3shz3ml4cFPoIl4qPJTDA/HZd18CI4P3tpaoupr7Hppiw8cR0L8Rt
3GT2DlR4NPf1HxkbLXQzoRsNGC3SXkWGorapHuBl7KjaLllvI0+VCd7W+gDFjPcyhXs7qdpjCEt9
7RrJTSYbOEgDPntDO8aJE4NYw8ZY4NnXHXvrQ27rdSUDoVTQYJRLO+iheoz6Kkljzwrz4xCITewP
e0bLr6WCCLuOnxtpLUr2P96AGrxIZ3ttC+ojVOBKUyEkDRA9RJ+rAXV1pzivXWet60jdBABjInXw
sBiy/tTxQJt5Wg9ZfqAxeJCNdVNYiIMlzfyc4r6JkqUS9so+102e9ZT3FCupVuxSpTmflP6xluVL
60gviLED+emAeAx/Zaay/X1zmvu9EutLhYhtTECVBTlBSOf3FWKDVUCSHKpcqtk2AuNdJFcKmodf
X4Q6t/xbyPNHGWpoAgelAQuU0cT3F4E0qILx1pTLwfks+03fPg7Fe2Cssu5PsRdspZ9Dk39W8H57
pfk3+WbgWPi06CafK+nORWjOcm/0e9OuEHdx+xQVYvnrD4aF7scPxtsET8gk3OHjB9OdonX8tAiO
nfLUtIcqeMnTl19f4mefiGqZYpnLzFDa7z+RL+xBdccyPNINi/sNrjkvDfH7BpsIIYTe/Aac/5NP
xKiRQwsjYnMmDH9/uS4XtT6qTXQkFWIRGZwyg02Z/OYzzWPfD8/Ddxf5MBaucapZwuciscS+Is9i
N1z9+q797mPMf/7Nc9A1U4MIhSvI8lz05TJhtmBHv7kIQt9ffowPX02ZjEnZZXV0HBRjEVpLNzqa
ERQ4+9GKlqK+1OkG//uPpaszYMsSLlF9H5oZCWEcEQ3o6GhXp0oN0KbsbP/931/DwINCeDPPAUia
728dvXpFOJ2Mj3kdekyY7LxY9untry/ys1tHCAoOaUOjO/QR3l/0oW1H0RDz/Tzm4izkpIjgauH6
13F7MLsKWMzp11ecn6mPz9y3V/zwZWGHcWWpjfFRxbne1fcGBdSvr/ADe9lEQmnPonGSWgTv64fF
py5M3FmDlh3jM4AKOzbP82JpedYpvLKWuRetnaWy/vU1f/acf/upPlwy7Jiq0fSMj51A/YOWV3dZ
FIrtr6/y83tnckvYOUl5/fBIiEkTdpPRoPUrdwmM02GQ8OsrzHf/47djQtmgF0hbEPf89w9dWeu0
fWslPtocfUdHp9p8iswAJET8m8/yszv27ZU+LHCciBki2iI+atZb6Jws/7qafrO8/fwSaG7AL/Em
2R8etUhLOsecguSY55cWzb9h9gO34jeb6s9eIR62r1f58NUnEmHLGHCVKHlJlVkU70lzbSVgLJuj
kkAM+8139MPH0lWI4sAGcH0COTE/lAq6izAhs4v02HQbxt1YHqvp6tePwQ8P2odLzM3cb5btvAu4
oWGVHnvmWsgxV2Ns/ea2/fwSX3LpKXjos31/iXgYMiXlpHWs0xdl2ok++s0FfniU+QzoqQEyWDTe
0FZ/fwGWTpuglSk7UudlrbUM410UU5i6b1/u1X9d2Rkc+c8DCYI9nrs3+Vz/2JWdf/CvocQsbZ/j
0iAcGCr/w5P0tSurMq+wUK+7Gro5XqCvXVnD+WSp/JAq3Lmj+x2M0v5E4YqwHbTlHAiiin/TmTXm
/u43Cx5xGg6rKfk14ktjGEzb909JHjgYRDunuFSxYGxL/MDMeB1MYf2htbtx2bd6fTa0erFBiIW6
cmiPeWxifc2zz9LUi1Wt1FvUo5bnGpKzdC+MRWyG1RLTLYMEBV1K2DgKVhIxYQQasmMVuPehNSHA
Bb+2HNTpAMH5TFrm1ilcOgIKbaWxpL0bFExwnfNJjvAEGKFvEXvsgwwJU2Ja+8nhNBaY9rnQzdvA
KpmNR86JWWGyymWEpl4+64g2AOUGd13G7LUnUAHj0Dz97aZzkdv3gw9pGunbg5sW92LoDm6infV2
eqNY2XnjUK4BFb7NJWk6igYc3u8P9mRe5Xm81gLlUY+GZUCYFvJ9G2JneVbaxYPuiAsjzIADWcOm
G5DW8lA8Nymi2HyY7UV240ViChfAJlKETmg7Rr8a6bDlrYeaZCQfILuUPdKpPDC2RahHKHjai35O
+QqmXtvAdlvHokJm3sVQ58hSUvTpaPjiRW/Km6Qd172DgdIIOFmaYj2G2S4CNA3xrj6K1r4NKz/w
SnN8EBGN46i3yhUKTRpKeVSsjWisV7lubxo5nSTShrUWpvtBS9/CKQNU3Oi3gqkyYGX0VqJwLzma
6hepb28HJ7iuLsxwJ9D2E0pwECN0P9K51pHdwcKsgAg3U+w1Bsu2bJ2HUOBibqu5R15EG8inSNSy
4gUwUrGKG+RKeqUB1gERjG5ibMZthJJrQeLTZymNN9vS33DaB9ugMi9mvPLQVQGRGF3mxWNq3hlW
AkmeHZw2TQRtkTmwJXappcEsD9fSCRCGg7P3xmHQaaiJceN8IWXmVtt4faecorJ/RUbSyyUd6Bhg
VLWZaHUD8qj2plLpywolvitmdbdOZFvO7ANlmrPVZ/F+gZwN0PoNvLpVV2eeOlNCeHR5jtz7wuiM
ZTjbALB0V17kBoOX2C3TZmDCWHQxDiCDAclnpVduR2CM7hsL4kB2uSvO/K7W0ARgQEiDmPcCUYjn
xCUK99moAIBRXSuzeUGF2HwY8TOQyvVizAaHBqeDM1se5nAQejZ8lrChO6JM6NWxsWGRmC6Lgjcl
nu0ToOOOPn6KMFPVVTlbLAReizQXTw3ei7o4RaZZLiS2DAep0m4QxcXgQ1iECbV39eLVrFO8A5g6
MjMrPTupk5UyKMmqnL0fvTU7XiorWM3tSqT58fSkz2YRzmDxrsZAEhX0NSufx6DL/OdxdpnoY3Xu
z76THAPKUJrbXAsVPOjhnRIkb0nLK6PnNHLIcFjXLpjc2c/ikv8Bdjq9IYbj3Z1NL8HAc2fMPpgi
DzxzmCqC76Z56lPlZ4o+WOcaDholyqqLoQNrj9Iw9mx38lcDrW3oX8wvAomqIey7cxpzDvYQlAyp
G12HkqfZMgNtJ1NEh6bPNw7snsiYcToVfingyEASq7MOdyReIKOSLc59XqxwooXHZIGwi9k81I0N
PK0K6SasRHAL4T4hG4IxWXXKTOOQ4kFSffXGnyXuIKxoViN6N6ZpYBJUSBlfloMmHxLXqnsPbZSI
l3UbH9q2g37SAALTcW/4OSycqAbZGITmfxClP0QKBtXvP9cE18/5/5w/N28/mdTOP/i1JtA/qRSu
QtDaIL5r5rJ+rQmI7tKRCFi2S4sKpN/fNQFcVmQI8wRVME79khL216TW/qRBUGGM+2ct8a9qgu8L
UyoCAsN0psgWZFjdBhH3fUVQt31bZfAPECcfJS3yEUnbNzfl+Mdx6luK148nBpo6+PatWZPB0ftD
ZSrYo43WbttLVIFQOu8UFWbfqTa3mn/suwsiMX99vS/6jm+qnLnx9/0V59/om3peHxwZEUkBGArh
1YIhaOPiRCnAmhZBUZ96WTjYiazyQiSWv6jFWsRj5VX+4FtekzW2h1lKPA26q+8EpFQWndJcaTXe
F8MJz6wivQNplyxLqb52SvLuDsrDXHkXGm1VuzAZqwQUR5hhsBvooeNJvHa0zqJgayZiUzNcWVuW
bWDWjYqNPw5wVMBFLWzZMuydaEqA6L5WegddWXRFxXZA/VIQ94kKtvL5lggXyqBWL6AGrMwR7rbo
T/68GjPjw3enHbvQWFCa7HK1jfBMBQegiywnyq1UtGDR5U/dZBwHO9x29lR7GlzrqDE3ZkkoZoQn
JxRFv1ZKWW+Isjgv0Ihc23BXJIL8GdNUzMQmAbopnhlO1RecE0JE/kObIZu6TAPzrMEwcJFnE7CV
ukGezVr2OcE+J0R/rpigCe1oNyQ9FnP/QlGTi3ES91qKQq5CH88yPodTRi8of15TpbC83jLP2QP2
BFasuqQ8a/yeFvm4G43oqE7VMverVTSMZz3YfxrYxaqZoKcGVn+oO/WeSZZnmgUt8ny6tZDfQr4Y
maC3+TFPmk3r9BfJlOzVIrEXQ4nZKYGtSJMf5R5ed5XJburVsX1bNZicYwV5rZ6V7a5t+2aT+np9
cqJqPEtJd1sDVjik2aur9Jdm6FzVrdRIw2QCj62MkJZs76fRsc2V677LmfHwtRQwZpzIXdhZ82qH
7YQ2Oz7hUfTcNsNQMmgrVxcrE0xH01J+1Kh7RG9uetmtVQRDjXAWmaauiqK4nnLzmPmEQPYDoBgC
gbqrYQyvhM8OhR+VbJ8HVELLwbbkTakqxjKO5HsOFT3z3Y3RY7GY/HSB42dJL+FNhVGZ492gbKHy
tN0dYSpiaRiRJ2C1a35wDKPu3LTQK1rZZlAtL7XJlxn8Q10z6bc63K4NBn7lgrPPSu+VHa/taQTA
jKya0bcBvKNyjTtT1kudN2RZzTROxkPjNoGzwqaar8sowGw+Kvuknm7qskc3kTYXkSxI0lBXcYzQ
tvVjd9k6+rPbxs+x7ZCHmbIPx2SO9LWkwK77bGn5nfNHR+e/gzD4iF9seudv8uXt9cdT8PxTX3c8
TsEW+5P1d7jC1x1P+6QTsUf6GofP2Q727Y4nGAmxHXFARp4+Q3H/2vHEJ47AZNDjGyN2Vf139C/w
Yz+cgiFpMDpx4Fbqs3zw+/3BUPSeCJwkudRUFNF7t4lKdRl1mancO6wBqJCFzMZlW8XVSZuV8Hq2
m2S2HXY71Qfflc/VIFqMxrlD3kAWWtTdaIYpD+qQFuGDHzCIE02eLEYmOEsiRi7Bj8YrK4bmVeoW
XuM+uyqS8XJQ0o7Gvf4MGQZ9rkwOpTodyYBBrefLOyxpm9JCcNE6ZB6o/aso7avSKPgHjKncBoMF
ANYpWGJdAIbxe1dI3cviDDGFpgqv7Jvk1kcrrZgGhaA6NssEg7RT+Kc+izmqEiK2DQRgpkE6206U
RC4kyOaF/mjCUkdqAduaGjIFYlZ1Hlt7vCX2LfVciZXBKnzhZVX40OLcXeVWmQAcw206lSrHkzDH
ZqAYCsW/aMIthFVmwVUJfHeh28q4GFIl3YIGLz18Bdam1rT0oFZ5cIW9fbgXnQwWhQ0utR4i6zJy
4MAGWqRdwOHeV4OpH8McVUxej7gLKqxBmEzqdViQv8MBgkvrsXPvuxWhy7oxgfslz27sNJRDQ0L4
QaxJTkpoIA9OKelbZO5YB/wOeRXtTVsR+PETJFZrvU+I64QD+VmrDHPVUkzYVRyfhxzOW99Bwwyk
Nswx9pjBtFat7GTGLoigL8gkQyZvaYG3uU7OClUNVplNnkKTJEvEqex7ynmt4MYKCdy2yhSFcr4v
dfmoK8lZ3OPYrvTsxgjC3mtC58XEHagH8446EMQRNnZytOIRs43B6TK+yKwwns41S4V4mPToSueF
2sRHn4zhrs04sA4+4/dB6I6XTcHLNNB/9HHzMnVGKlRkcvYn5iG6J+uFA7DkWKMmONSaemUQ49xq
DUr68TaYwz3GJrcQjNCOwPBtLHDyXDSiz1aOahVbJcA6gUreGyL+Zsy/G6I5sJkkEnM0O48tNyEc
Dpr6yO6xUgcVV0iveom0sGiWSb1X1eYgoqFbIkfSvSjFG6Zm+pMYNKhbY3GN7J1p/ohhwM+BHVUE
RBOnAYUEKilnM/st84PXtHBSPN4p7pYRQzUdfgIqafGTmaKpsJbbeiSFTkP+xOTeXTs8+nhdg1Wu
QrJc+VbDTENBGdVDzKIZtcd6Vtx8WTb/2z9Ujhj/fGiCxowH7sf9Y/6pr/uH9slGE8CSiR8Hqhsn
hq/7h/4JJofKPIjp9xeE7F/aVsOFqsRa/o2J+Ov+QdoPATwQawmy4mjA1vIv9K2cij7uH8wjcMmB
buJXcGCVfL9/EHGO6UfgYEtA14y7SRSZ8Zmau/EvSQ5DOgYNUtG3jj+DvNrwejQDc5HAKqXX1uIP
9QXOqLRKvNZtzFVtZepW7dkgnAGPYtsVz9o4wQW3ouepqodVZoT1StaCwjIguM2Pj3FFXFbgN16Z
1Xg5HSK7nHECKueCnSTNx4fJk5CqoeBLDRGsrELRHNq8dBeaHd13mjhFRr4RKZaxYljl3bSJKhwx
jPWofePiNGFcLUSxo2tkLaIUAYOOdHLpYqUFNzc9u7E8CcHu0YK6AwigH3W1Sc9bcyrW5PTlKx15
AhGZ1bvhB89w25tlhripGd/odFqr0aq8Wem7SjN8KLp5X+YI6uC/lWxlBKPSjmZ2XrKYGwXd6Qk3
8lLrhoMx4SXU5fSG/GHd4onV3H6j2XBsS3zLRu1JKn/wf6wdJOMAAJ8FeeS29vAPXHUByvMsh402
WUi92sBHPWc3ENejG2cGqaVpuc0gqw1FfJNCWmua/MQR7xDiSCIYjHg5FviOr7SdIW3qEMl80yia
s3ZEudes7DOTa3Zm2z9TO/eMsEfsjgAQxZ4OvzzhAS39J5xVge7VRhHkJ2VqxnKTaUDZAjVRH0Dn
4p0SXfKiWwY0QY4gkd6+EEWy5lwdLHuHP47a/o2CvF7GBHEssm7YNmN4Yea+49FuH9dVE773CqaC
2BkfqaRummk4aZ32ZMiSA870GHWUy8KqDc8OzNdIH/a9GoxPaVglCzDKSF+xaTJN6haWCpPCkieU
eVtbOsoZ0bQ3Y8THgncMYCZwLv0BdyYpQDAerFUbNlhWE+F6jRjV7WS/a3FhkuvY3HUNoX5ZaeJa
JWQyCVxjYykRmbGk75aatZIEgiyVInwJkmpapu04rZ0e6k08Bhs0rI8R0uGC1wapXD5woMdWZNcT
6A8kUxoBdkOPCo7ElOPoKw+yUYmBMTTAfPGt5YcBEZ26DfoF8AaZv0TSbVF12SBVin1Oy4wtmJNr
xRYSiuS9DpvLMjOfuxoiZIrWJRnjC0dXD+XcCaAHfshJO12AOOiWMcQMGWKtiJuuRx1Lkl0T0vHT
3fQ5T5zHyS68LEWXVwePRmKU15OCI0oJnVmead3aSng9wPFR3f6hCs1oV4bubhqqgx845cEv6gcB
fJIqFkaX2IWGc6m49SlUxVtpThdZJrdJwbM5CTJGSi1vV4QFX3Ud8EbyFYM22sg4dL0E0diCt0c8
1V29C/W4vfIdRA9Rnq4BpB5EUyd/dGD+29pmJ9E/b21zP3DxJvNn+fpT+8b8039tcZr5SSMm2Jn3
jy+kjL+3OPCADooHwdDPtHH1f9MUtPgTXEuQkDE4f9nHvm5xxieHhuEcWwcvn3bbv2oKIoH4sMUJ
DJ2GBTeK5qSKE/5DW9AdLKXE2BFeKIBEV1aXNZ4zjcZOdEgkGOWN2aKpGik5REDSWYIaJr/O76s6
vh3jJPbcCYX1RS51c5VXcPxV8o7U7oQ7vRifW83UcG4GA2QoeAZpF+s0s/C6GMOKdHKfkZ+tVdNO
pecU1JumVNLw2mnYoaRFqsQiV2wEx1MwxTdZkXa3JocffZkSYHcd4qRGjhLH4bosoReQ0VtvKTXR
W1utfZdryFwXI+/rXZm5vIeGVU7j0sxpFy4ViOFLXlPnaCRdid2wih+xcdLCcnER8A6l/iWFQeAs
UieOzqca5+gStg6QAycS/tIt9F0eqNkyM+L2nKjt7MIWeXfFHhl6El+Jye6QM9hUMGO2aeU86dTz
RL02bjEh+m0Fzmgnsmwaa6l9xdZSTMupyaJtKu3pJdMJBA8DkxbcclQrS+rr1rXi0l+YRpsUO6cz
mo0l+UJqemFK99hEUtO8pPM7z4zxSOQeijd/Et6kk3YKW6tnhuBiDnf4a2Mpg42tNhPy3S5+Mty8
Prl2ba/jVGggCIEb3hDAeuEatGGOhcLdPOZK0KleQJxrtgz8oq1YXgiAv3QiPX5MoDTeDG4LzR4H
eMJBMFejdKsaOaJxxSn9eFdRgA/7zMbV8SZ6J3gjkdHecC7zQWaERUWQhU7HSwGgmynSXiVOVD+w
wJaSMHWFbYw5zn9F+Rfkzyw4+eeV60j+4c+kDfNP/bVizdIGfGMsLnPf5nvij/YJSyXdFJYtuKZz
EMPfhjNKZFjrpo2K9A/W6V9NHXI7aW1YLhOQP+Ml/kVRjvrsw4plmbZOq2fu6WApMD7qhEwizzBJ
jtqlldL32HJAhTznVMl57KdLc6JJG073EDEZNDfppkeWoEQh+b0zLqcINq7PADNKhlsJsdMzCgpc
dlLXVA+tHyxFNhDWVpPEvbVi5bEIgr0fENIWXGqxG5wXEZHTwhpdZuvTQDyZ6FkYp9fURBc3zl5v
XDmP+Dtp9RpKszb75nEqsm2vUwQbVneM+sbwKsJl+HP1MHXDOFcY56YK2QEc8F2uMDDOpPoWlfV7
P+mvjlKCHGuTEErMcJ05A2DiwXzsR+VeTuS9MOeETicAwU/uRS7G8QBR+Aqy6+yvoa8y+HBHCXni
/9TvsDdN/iKZSB1Ic534H5jGNAh8CjbC2wnHK4wXNXmwxmNIeDeQN8LgerkVrCdAjRu56g34+cgT
cCCAdDWMZlViE93J2mjcZy0yWYKigQ4aYT6kZgx5skURV8E+ZDVuzKH0AL72C9b7AX63k64JXEt2
ht6hPRC4sUkW7ZtTOFaw5adUnrrCiDdtiWCztFNu1Uz4qedhd1jBc8/yhE5WJR6KSYKVbemImNIE
J11Q6TRtaC0Ax5El7/rWRtj9eMInbGKFieko990y5OSzd9OJ/Swxo3PfUuNV77b1PkRuvxkkmNgc
J2y9qvDyUs0Z1GhJ+667hbOpAArRx4Yjpwnlcwc5jTmMy2lnxrJrFYPjqFZo2FHDgZG2EET00BNL
HlVJiDjJg/WSeL706BhB4mmMcheJMkaeq+WMZ1K49ElXWxuw42/ZoLkb4u5x/EolPUJuCvbcOUQ4
RNs9OwU2En2M1K2vomesVWWmqoKUMbSGNGPNBmKR4Sr+XI4IrosaqWBt1RDXHEUeervoD0Hfyo0b
ovnGMESIdyNSjy8P4lVtveMKIxVlDDHPmMYG9isIDHXKjE3sluFCOo75Wc0wHmDUxHY1w92DTDLb
AcLi+UGvQXTiYESKU5t+5p0L9jLW1W0/JXnjhfhqVG8wnGHtdpaM31PSxbZsUfqJAG8oEo5dH0Bj
qfJglNFSqsMNqDzOkirjNtCCybpIq7tR4cSkTj72SrcvvDokTqyrH5Wguk+LnBgmYgW9MJswiGa0
wWIVooI9xndaXnC6rqOn0cWSqIdBeDa2Dua+ktjYqT0B6XFgxuCqxqRa7dxWvIVp9wSweN0HTgiS
UHnv46YmvCx6pP25T830YWAGujFqRSw5cc+LiHvOrdi1ifte8J4qM/m2yZwb1bGOlRbuORLZi1wW
F8giX3Th3nepMqzIMgRVIJ0dVrhtMdXX9eTeMorz0Ztk4bJqZ6A6XP7Ij8aNAa9wSUoWNArcID08
XemEV4EqyaYJ/HLRQkY4WOr0PMQorPpc30Iu3Cc2m7fBhG6AfThiEedNoRlIlaIt8NrgaMrd6DPU
y/xJJE28DYwughjK2HKAZLMnEMRamKKoFybHYbe2WLPUNveEUR0hRF6LOWUgnvMGgpzkgWHOIEjm
NAJ7ziUYFVxi5cCa5Bd9cMo02Dg1r8upnV+eaU43kPNFmznxIPYjdwM9KrpKA/IQwJl3C1aYdlPP
aQmKNbib0iRBYZqzFHC5kaow5ysMc9KCD0BsFc3pC+6cwyCk9Q78eYJwM+1QYlyqRDZQwp0hos08
o1d1ZmPkOhhzwkMyZz2EtkXqw5z/YM5JELogEyIu6ZTMKRH+nBehz8kRDhzHbTinSehzrgQ8Gyqh
kBj1cU6dUCtf25CtG5ysOZMCcg36qJicCiWmpYkohwnknGKRZyliHLtv/yt1/hBt6AyOflXqPL+8
yR/7j/NPfVvqqLrJ9odsgZ4h86Ov/UdKHcckGxodn/VHku6fpQ79RyxAzKfUWeSgqTPW+K9SB2+9
Rvo3rny8LV+ief9NqeP+oOLklDf7fubxlT57Gb7vP3Zj35mNafeXDRlsQH2S+6Ibr+yi67zUDS4z
rYpfYIDnUMiMG6Mx4mVnKP61Y/fvSqiudSTEi8lQpkXgVJ6ap0yQbd6QSPqfZYC9dkhtueja/Mp0
02CjuoW/6Tv/3MnokoWl/Rms37Xopvswa+gMpg2W4hJoThFm28Qu90ZZI3ewQzRtbr4mXfWaa636
Br4RY+hwpbcjkQtOGy85jJw3CQwgQa8Pt/VrXDvnpvRPqjlchkG9LWytXHQ4O/VQVdeUfR1y026G
/xRUSvQebZ33BG/c0g8IcUUJYADc2KkmOsq+1LYaO9DabYhOTKLG8VoGFp6R+BuRpHJRGBlU99K8
AVnInMddtaSft2XNoIppxDLKaO1qBPU1OWsIcrk7y33NClYhHWJqne3trnloVaLESppxHMKiDoAZ
A3TRteHCGsa3Ti12nWavbUPB3q6Gd4EGggYE4zJ10mphSiSt0bSNdRvLvn1hm8EyKOQdh6vPiBsO
DB42SjKtaGwvq1rbtX5y0kcjXwSWuHK4Q35ks9YVct2n6YU03SsRqZ+TYUJEpqIsoMNO39PubzPd
fIwd90IvbYjIXW6uy1bDMTTYBy12blAQ5pyl1Dt6gyl7QXyYDP+2HOQF8plDIBPmKmn6Zirh09Ap
N6XRng3hcNW4Yq0K5aFV4pfURTFvWSOQujKwFxPzF0+n/QtW+FptQZ9UpnvO13TWIy8C2r/yzXet
tDz0HDkV2rRGTFsDiIquixAT84wkUwN7M8W2tZB58WTkgvN4PYtqhmez7Xm+qAXQ1DBkBVl7xtn8
1eeJdKWRrdApb7RU7FsxbgvRoNFBkqOHxo3FlC+ATb+gxXDUVJKb0TkMK2KnKFoUUN5KiI9/NJDW
qG5yFzfcpClnhmmF9MHNTL9qROm5ZYbhOZOuhzMVbiIGzwuykUhTeiSHCUmt8ZhhOC3m6WoYgLyf
GvMWfWN4Gnvp7vwkRYdk18OGAR2zshZ+XVtpsTfOlWmklO9W3DfuWa9VNKD90I9HREn0RW87q6Cm
srrBqbFCU5xe575Bn1sJjLsI+KNnau015ieqm9GkzCfw2e07Wq7QliAubIAlgg3WHGeF/zLdR4S1
eBkWXwbFxmPRWTGeRV63NOSRznto5eEgKfRxryOPXAWOO1w77M+LIgwvh3B6hVCxgELhrKKoWqsI
TNokw/c4aMQ3kw3PcT1Yp7Z9MZjmoqFUm1TnPrKQvTiorqDjrEXT7GCPzSwEcIbFEU7muuwoBSal
PsC4Ixmia/ZmmAcXKSezxBTX3F1tQ61xUcfyOFTtrQtUUhoovwO//1wL8w5E8UOm2syA8U7HKZFB
VTVNaxwXd1ZIPVRMFEuOoV30fucuck4ueONToI7Thv9KQMtsm6ga67FURMlhEX+LkbyPUOnK2L4r
qwikoflZ1vh71cy+FI27Fy05VWaF6MqoeiqlJlCWqq99Vof4ytHzM768auHGTBObxL6FotbzhhgN
uZ1O6MFXW4lJMVdIJqjek2pVNLxMI68e8vOLOtR3dQCSNQqbq7hlFdC1PeKqA/PrM2gqOIxdu1mk
PZ1lUnNdpMMZo3eb6bRJfo3nJ82bEk4EdLtVvG6gBy7Kks6c7yogldtxq+fafgr8Z2XMzsJkulVG
Q0euPr4oRFhcjwgB0MX3WxTEOXBCF0RnUL2gxWZAKtVyWWT5beSIQ1iWL9HEPAUGQwYlT26VXL8F
N5EtfQ5psHb99dii0nZ88h9Ev7Mz0J++aIlgZXcomxdX7yn4spRnrc7a3lqkaqBIbN3zoRW7Qu6h
razx8je1+6RndWOf/9f8+dL8mQuYf66IVm/p/1wQ0Y4R6A1vajPuXv/vf/8opeYf/FoUGZ/wGVIM
sUB8CQT9pigySeejtGFU60K3nF0vf/V/0L6CEbXgpELdopFMC/zPogjgluEQs4B6TRgWrt9/lVpj
fej+mI6Gt8b9YoA0TMxi35dEjQ+tMp1y/ZiT4KQm0ZkdALvsxt9pS7/Mdr+zDM72OpPt06AZiXD3
w4UURnUEmiX9ESdWsmsC1TE9oCFw5+g7FzokX6W3iWlqikt3bM+qpOQlkO2yhK6/RHbTIHXQkkMn
LXdFGKe6NEY2C9rMiBJ7+fD/7J3HkuTItW1/5f0AaHBoTAMIhI7UcgLLzMqC1hpff5dXvya7+5K8
xjlnNHaJrBBwP2eLNXV17RVOjDYpSXxxlz/U/IVwW/JbvnMoOXZJN2CjNb6jjJGnM8ZAeXNODcBs
N1WpwhfdyrPE2tMFWgahNQbcdHt/WCGwdNnMxsR4URz74hoDRkuhv8ZGTlXBbD7gnb9XipkCa/Pa
JypfOtnSYlG02bojj8signkvcBQ5OaczXZCa1L6Gsb8zlTWYjOHFddpvbCrvUbG8tTJBklHT5+dL
cmu24cmyiyTgaru33LDddTFwbb1tnyor2icOd588jk94vz7LKc6CsVBrH7WB+rJqrpmRJU4OD38g
+vVdFLSorEZ6YziUpUmfrQIWvLGy98GmraNjIzdjnqwEt+Jm2Jmuhs8JMHJPOoMfVE+o8i+hGmrm
g7LUuVf0jcNz9N3tCW8gQgzscTbdYFB2CGfCkRewukspex5+OgsxGnoFLso4oOyVIBMb9HFhL1dt
ogqXig841CIJMpHfNnmcBhSw7tbCuNCTSUuyMHbuyGsbT0x5sHdGv27c95IJkGb7e1YTi6+v3XNi
QVaIOheoTk/HxTQchJmNfqurX2pOq1M0Lc95kpi7WV9vtJlFURenIwUb7Q+Raz+0KUf3nsUeNvaB
7ZZABJ92sCXviszxZ7uyzrZO6YeVl19rWr/Gdhd7BVW4yM8cHI2d7adB39ncFzW28aDj3HbLR4ym
U4NqdDHHzUdJjUYbrI7SL6CQgC0Jdc64Ay8aos3emJrSV+0pEDRSsfpq52Oem6SFF9rApCHV0H9M
qntITBGMKwkaumbq8TmjlQqa3SRozDK5e/jDLBI/S7WDTgREAIbsZT7IaT4wUdyLTPl2KELdNAij
FZ9G+IXj4xx1PYsY+imnTByUwoTESIOw0+JJUIAZUolB3Uk3JpK0O71ZKa3Pc1RfokQNva6eMW4Q
0TC6c51m/th3+2nqX9eQJc1MId6YqhQIVBRQ8ZXVy+wWKfeUK8phzdmOsTCKuQItIELH5Ic1oZOl
U8p+ZBD3cW/tZqq4M+wVkI/oHqG6Zmq3AFwOMe7BrFf2i2WzklHfV5NKdXabHYbX99x4GCdkrGE4
1riYc1mZRc2nFpDVoWAMc/Gqbyfd2I8avmkRYxNY63Gn22kfqIKyqWg03ktDYH+rJj9UkO2Mqd4N
orxZqumtrVIIj4vx3Peqc4FIZTSPVTp6kcMotsc2L/L/6zH652U9Xxo5CRv4D8hBMoZIr+cfHfpd
1+H+Xazldlo8e2PswuP8UF0Oab9RPsoXtkIHgCmb8IQFYPDTnX74wwH3TyIJHGN/DgjIv16SxSmH
1EjMyh/vDwGBNhzMUbGG9Xa0P+rw4Ko0l87vSlX8tmP5l70g/+zv0Qguy7QGeq76l7A0vVVUY83j
ektBVjx3G6YoNzpQtPh//D1/Pv1+ezmligIciasfrR1//vc0hNPMQcTqrWWeWusGiyif35d//5r9
ElD+fPLxqv3hH/OXv2RgAu+0TL5oQfeMnW877tUfDq7yTXUp+Ixt7tstbNhA2z9dHT/fXMdLEjx3
23B7lx6nzb7123Pv8wt9irr8avv8738+Tb6Yf/35JAfcphKf7sO/JqDzgemlXFRxS+fwlRXCVr2I
F5biZN68wV82xzexm71rE0x7k8LiE+6iOxp3gmmTe79+lP/6H3AV/JuL5Nvw+fG/75Dy9/z9Dgne
ixOclgqCTSAQ/2jsE3/D0sC2Dfqg81sG+h+LNTpBCA8RUPqr6wFjH62tfJWpZ5Ii4n8EDqHs8k8f
IRmGsukjsgwKB3gyCbnC++NzIe/xDs3VrN70afUauiX6UKZTtqoMRAsdUd+ZgJX2A6fhVRqJg6qi
27LvjGMrqTpTSf9+gvX93MqiK8PBgtdN1m4EnZQ7c31pV8WrR5Vp2PniKANBUEx73RpCf2UgchmM
ErsmfplEu6FjkVS6S+HZk/E0MU4ZSVw+NlE0AKCvv5DLT9VQP7WCRjGj4EZjMZblcj6r5KSGrrSf
5ewWrVVc3qk61I/UMG4V3TqF1oRHa+KwKyYlZCPA9TTPG8xT/Yc9RF9h4UyBtpRI+0vdHJzSZYau
lHtizfmt25NoKawYS4COmBAutu2HCd35EZAwWu2RCGfQrq2r/+gS6y42m6vTc02s4+w10fTHvnK5
zaXaN9faeRuu0VM7UlLSdIfBQkUqVrGn7uOHqmal7IXcZ+58V6rppcOVXpTRKV3dR5HWgBdWCUXR
1EfAk6z+eBP6uO491vIlbkXzYxm62evs7tVBASQ2k4hNY1r+ZKi3Tm4IPw6TuwRY1EYpJmc6Lgt3
Z0o5f6rSKGeVV2dNTiOY5IOedveDxU1spgp6Qw6g82yLli4LQJpd574NtEHGlvDEla7G5tTFc5IR
b29pAZNsaleDUp0TGduMVnrAZe5eIlDWWjOqG1Sm6E5hLt6sickIzAWnWbSfeWUuFiRyycVONfea
x7Cyy7LFAp0Ro+3NIgvKnO1TBPErxr7tqeC2J8ndRoSBNrGA6JBM7k5Ux6HVrnVVk83RV4qPEoOr
mmR5C1PZpZLuPYL5tsB9g4IevJaywEaLS3+VFDKYkSS2uerBrlifbYo9RVh9FhQHDIyDR9gbd0Ii
xuNlO4AcHwhNkWm1Wk/tW9xCLMRqqzjOFDgaAMsXkd1gVmFSkVEvFai5CtzcLCgVYA1MG6dio79H
Jj+2dg5rrcMoMgwscGQaVlXvC8DpDCW7JkvvE4Dq1pC/TWr7aUrSushER8MedattNvitNbHhBcxu
Ory4pqEcUZGMnSXp7QNXbRrf7bPaiC/IXhDeQb3XujZsRlEHNRWGoK9R5pZ5PGRIjd5YqmTyp8+Y
1xo5i8mstGCHVVr9qpf1xWXBbDlVkMbgIhwt/OrVKbBbSRXJp4bAVVV5GRVDMywZb3FZV5eL+aOf
zMtEGe2mcNJzE9I0n9RF5mWa5I13706KDMV2RWTrs1C6O34+ulMNnO6TeyGsT5+ANvjROk6+K7KL
0xDZGFb1vnP196V3a/qapR91Vuajki3KoSomeu7BOYxZ82DQ2RzX2b1jlaaH35GuXUMPu0No86es
bWzu6UHdtmHD9UtX8kNRaHepCkwF54XlNcyYLJ7pxisqPsSLA5iZue8mraivQ2/NoS5T+TpHcLk1
Vd2goX857NL/e87+/70Ld5t/vbDZ5v/Pr1o4m//7sJU3zN8PWwrSZQO5ioOeCVVz2FT8QcWCwkUP
NBKJwJ3DOfyPw5ZdjcGGR0OuYqHDf/qHisW9ndSUKRzZbcJy6D9Qsaim+eth6/DnMAEAe+LOyp/7
58O2iUJMhmKEswloZ5KgvRHVWWHFRP1p194qq8TxMZS+mgYPdtdEMultlBQH2d7rlLFkb7lAE1qZ
hVQ4f5QO2H6L8dmrMTwGK8JYUCQrvetUG3u9MVRkfN0RLQWAYApJcJBIQX12YvzC9pMLbZDprQys
FYKkDYmQi3fEctk+9Mn8EsoN65jWD20VA2lSEncvVJr3DAZOPDtKMVwrymKlsVxs1DYVwWKyTa8h
I+Y8svCurF4FM5G+irew145ICd0p5mqgjlEeRMRoPWpw8UnO5qfVZsq+lzjGdjaXwK3mb6uyvsnO
pX4n4Y1dM17cWX8ttYrY0JBXG9C3H9oY38US/ciP+eWWxU1mQmPXR5vWR6tCocBPveWKv8t4iO/M
2vqAmB5EVX5XhHQrYOH8tnJACRmNlVVe71B8ftCMdT9ZWbRXXXpACzgT22xaVz9NFGs7KPMNTab6
Jom05yR0LqMe0vSgiWoTSQ5MWVPsm5a0Qo3TQbf690JQNNzoBI4Hp7tZV2M6Oery7OTp5NzO3RSd
637GeZMzerrnGDFklapISBcICVxcStVsJxuYafOuSGiEaZLUPdRSW9Ez7Qk2OtttqbtoTow/NNPf
VpVW12LjusPjYOXRFVN/fVx/qTexku1J122nVL0XNGEwzDt4S6lE2WRq8iyrUjahFIRwbKW+HuGo
qa169s2K0nBFqW4jupI3FpqSZqmPtkIMbEqBmQ4sIFGfjKHkJV4KP0znl9pMfth6cQ4R9zellK6m
tsdxogwfhpS1UkN/U7T8nTWWuREoX4trEM5CC9NUilakOAYqOVCkXNasTrCUmT8jpVGsfbZC+yKk
xuYgthVr+VOV6hvBQKwNUpGrMw7UEZEOS9Ir6HE6Yub7PO7PC2Ie/TvvPWMpyzjQMmgOEE+uKvLf
jAy4TEgJTag9RwUKYdyGjyGSIZEqSKNaZAR6zX4oQ1ikT/QtRGik+Gjd5FGekr3iwmQjR9LJfj+1
6TWqIXqHLihae7yZhHGvSyWz4BLWIm1CivIMxzlGQGAHazrVSKDR0j/LtWBUmtfRMG9ATu11JNNa
5eTNuuXVxJizSyOy9RlGUY/HHGCFBkeZu1Rgq+cx8cakfW2RamFqXTJdO8SouIOUc0cl1L1Gnw61
lHr5wKobXMb3OEM+aykL21IgXi1np/Wpvs2leBxKGVmTgnLlEiKREnNaF+kB5I83d2BCpRQtn7g8
pURFrnG8rQZujPgN1WBAw47UhbgCqQqVl4Bn0p2+WJd0cL8YRWSiwXoirHrRjSb1dCmRj6Tm/Eo+
4tp49cdIfdDQ03MprGtSYu8afGrCzPcFDTNCyvCRFOQtPm/DGj0Qbv20pWQfac4lG+NwF0WKErAn
vyeG2eIuQepfNPtTS2zMZtIGYCBvLtIYUCRUGfAkDbJk+Nn2KwWJDYYiDMWPpTQWDOSIvupYuVrS
dFB1PCOS5GWKx5vWjfeF6fxcWTVte0qUKDFWvYw+bLgtnUm4n7tD8VJEih1dVg0zXY/REunSPJlO
++hK7mcrCaDrWr1Xa+JuMY3pCGfrK3odBumx+7R6pfHWoaX3Mr/GoEV1EKMzqFEhmaN62R7zVdtS
+Jxvh968AzF6GVyF9mZJLE1BlzogTFWFPv9WUk3NKVTZmA2POsDTJFSPeZU+p8jKZLYcEh7AUV0J
SW2W58Kc7uopveXzwIswD08FWNXVpLaFxGBOgKrc0aM1sCjsH0pgrMIi0Aic1VDnpxLuZGiYtxbw
1tplRnP4H7Pkuto5zm+ywhxyFk68RPJfS1XrUYMZWJJ6X4KIbdN+pSSg47Fj4UWTHFlTEmXBysKW
pfB8XaHNKtl0KH/xZyWJFnKAdmglndaVnNpKEmsztcUbISm20cw6XnJt/7v9+CWjGf92+/FQEer5
J1cy+bt+v5JpAs+zzl7BpkzVpAnuD1cygKqq5ei2Yemc1fI//X4lox6OXypjGA4heGoQ/3glU7k8
qaQaf4tKGv/JlUw4cu36jxXar/2HLTMkqtyKUgjzl/0HBM60NQZtuQEH3t7a6VLcJ6K2X6vc0I7L
lGVvi+jtwOlH9TItJA/IEcS+MEdGQ3fqH2K1ynes4ZKThWloayt9uy2TBqRZo17zPHa5IIjwbDKv
3elzz+8facxBm+LxqlZs3hXHPc4aannXx/1e1Hr2xRey3KXlFNLvhYLe1t38XkAyP1JDsm4MeTZr
pboQH3Rqb2mXZ1drvDjXP5awsPGAENDrK2U6lRkUg7aCCDDDj8DjpN7QS1NthoRItmsRf6P7hG0M
X7vK1ft2owLWgGiZpt/1ImSjVln4OAmin3Zav8VzFG7XcPSSrD5CbXYlBBGU5+risMGpfhuJ6FXN
lmMy6G1g1CWro0bdJmqv7HorWrm6DvqRALy9pb/rJBQWIHSwuL4ax8Yuy0tjO2pauLcEnFpAjNmx
KTgbw2q8W1uy+zXYagL2eD0U09zSQ17Rw+peU4rQODd4dZRBie+TCVmsSIS46bBV+4s91Ycm7o6D
lr43tc3kmcMO0Rwr3YqoxuDcrL0XjrxhyiRaEPGZioIo9qlB85bCCmI2oXH0Gf3z61B/jFWUXube
+FYyFhU0A8OOJqDrQyhi3I0e0M3ucJbpm2yed9qYP2u/nC2Gi+LZavnN2IjbSnOe1aizvRxWbK2o
O0LneFQbvEE1f49lgc7NRyPCcWXSnV8Wp04X36ZZDQEu+4cxJlnSsTYhXg5StyjUGztyGRuq3aib
53R2LzWIgVhQAbPmEXby0GLRlQZrlNwUa9JT1IBDzMCXheRyMZfarzPlyaGNzV9n42SFxFfWIXwv
tPZTx5Pju8TxGeh3bGieGhcRb8ZCBgyYA7kvtaW4NpkJ4Zc88vBlOBQfCt1s4yCs5rM7gTjZooJm
Z2E1LSUCS14dieDr5Aba+RxB5fxN6fjvKlplXPzXI3LQfnf/7GEsf9fvD2PhAKSmWotlNMlw1WB0
/vt8TFcnuUpG4L+Xb/3+MLb/RvKcIDnvmmwql6Pz7/Ox+TfcEa6wqbn6bR39nzyMbVv768PYxYjp
WqZjC0IyHAF/no+zIhcuz0j7Ssr2GPXNWF76SVtgERZjXdN+kQxYlqYOjGJcRPNz5YK38CswAjF3
9Pht1ruHIm4WP+5KunD6YddMkY/4iBwLH9Kv8MjxqIPITOMDtybYB0THGr9czatwgYSx4HyraCop
i+wFjIXI7nq7jh/wb+/daQZ1GUq8SIc1MlFAzpQOjuWx2UJyit6Wuo9vwzBOrNs4X+xbs3RQmA2S
2DppMGgXvhkWavlo2YoehFwap22Hcawn2NXFyfPAVISZNZteMs2N2c9l1T6J0xS7ktpeptQ4ToN5
bxKGI39SPqtr/gj6la1dXH9psirUimEz9RjZ2j7lcql/xmUK60Axrtag0f45Pw887j2d6VwZFV8p
uI9FsiHTqGvhOws2rq5kAyaM+IVCRgdxPKOz0HzInOkGPBEhdiX5obn2YzEY36qRJtuu4EUxnf7O
1nlmRTRU7jGXga0ECvIOnZOhZUr2KieE30h/QZE7j00utKAq2XWXeq/QWqTtY6KG5Ti2fjElBz2G
zGkWsYwDQGrr2IpvtbTJucUt+Gy1u1AarFY9pj/U0PZ0yghPc7LJc6ExH5YR/qYyqD/UyvWdoSs8
koch7ZPdrijdjyiuOKdtHqjk6xNHAfy2ug92yDLPjTuAJcoPLGlBrs6HOgTK2+KHG8PWr9vV2hcl
KN4urH9yuJICTahKGZTia4rd2R8XUDCuCVfFHe29JfcwfLzuDByNSB/VtSdDxRAf3uYu3pGowo4R
C8C/EMQHxpsN1EfTS8lreHze/NisXodUY5sb9ceed7DvhsCEQLybTcpbLLWptjRfHYqRQp3GfBFd
f+WEeQRZlXmJ2j0XUXwfG3Hi1+qwE5GlHLhB65sxbu8XO3xUJ/VubQa+IiKpfY56LLpJspC3CG+H
cN0veagQ/lK+2kYBN2pQdLOYTAyrgO08DQXWSLPbkc6lI85Y1mNVswhdqiWoHHPy6qGE/jPSANYY
05kC1x85ZM1kcHIqHZKLldbtJlHt01INAqu1TAdQ8iD4AviGSD+w2E3B4vY3bmu8jri3Pb7qmKCX
wvLiQf9ZLDSGwRG8H9ba6webcoOG8iB75mpUEh/ts/FJo9Z6rxh8OkM5X3d58p0v2sqkYr+ak/mg
Ydw4jFWG1abVDuzsdB+J7hyPChWjBs4YtTCMYGrSmySyfEvJ7ot8vFJNo+B0sQVbj2ybFC4FNWUT
WDnLnQlHKTZfUmxNaT1yao40qqo/Q814V/X8i+TxoZl0hq6Isz5UtG+jU55pWHO9oiiei6nXoH8N
D8vSi11iFW/VYpxMpVroFCP8j9RjG7N1p6dObdMyAdRniRtO59KvNLPhW24TcDGbiwU8ZbtmrLrG
9bPVtbfGcfW9q9IhULv27TqMpe9Qr+MbLakTKp3BCsfLV7iwCFdtrrNln3sOoBT8vtWyGews5Vmr
v9eW8UBPoONNsUOx7BBOPvHelAwIIkuZqNeRctktVpbvccVWXpqM+ak2+mNY2fssK10PSzKL8qGh
wkFlfTYZE3ZLvsmiM/S9Gk7mNZkpxBm7ZsbnpcWs+pv7CUrGcXGoFBbriKG9JC3tJEEf6YufUAdE
305cX6gZOiwFF5ZypjqErr2tZmMTn3U+rXWbfllwIDekb9etWYZBZOjL3irb5lDVRpDRP+zHqFuB
47CF43m47gDEv7eOGZStsoumcFexP7mLlcSiAYrauqWbULH6wg1oq6K+wlzCO6vU6sBuxKGJ9HNq
J5QmF6mzY2kZ+RPIEa6Yy3KMh+FHBn81QLbTj1pNTIEwNijoOSoJClLVt04F7w2ZxsCkHnqjsGnZ
RLTQbcx+POgFBR6kJOiLMMdTlLvH0F1PSrLSRERCOAiz9a4tQj+K7QdHsa3z2rF2o2BPWtYgGQ3x
Y6nhtsqIfge1zlA8xEoLdaj/spqCTjxSprvZwbW3iKj3kIlmcEDxbZ9gMkQT8jMiFru6Xk/0vpzD
XPex+d6OLRlDPZV4eRbGm8Rur2S0v5yy+My7kO2w7cpLrWJyuTaPle4s29CK8NqsDaY6dXoWQ/ZR
Zcot3PSHLFIwGWMt2aatQA406u+cWo2oUGGy6walMInBH5lopT/l6lsN8WYzDsk1dAe6nUHI+1PT
gocKs1PpUDKTzmn0DIvNpw72jUGHPRJfXTsvfrZF/waBA6N7f61/WcD64isEObEVLn4st8ifh8rB
4Jhg8NIU5W5VEaqVPLmIGjN3VWWnvOUmYnCmmhiHPSHENz71vT2EZydcCiiPy5E2FBdGPOk/s3wp
lvY6lyhK1lLAsCZnwRt6bDpxMilQVGrn5zSzy7NYZ5cNoIEu/cbxGHRD1e86u952kKKpKFOe1VQ9
r9GpSFkcDTZVx5msAvyMOx6+I7nHtLUh+VIbYPYg6joLFnE3sUbLeHsK1qYpe/h55fOchBo7Ss34
1lWqPvF+PiRpxC/mAT4W4py0udgQ+GI5ztdux83tnRvYAZx40HDT2ei9BZCMKPxQJzdW42xCQM9C
5w+v5wqySHrKkBB2etF/GaSPIxuhuqZ2mOgh1cvls9A58Nwy2pmxKOAJ63gMkqd2ovSQTEriKXVz
WyfueWGNSk1Ccz8oZGbt1BRYIYvdUM0sCbV0awniEax6aCouigjuF1+dcpXVCi374bGR1aAlvUDc
OzdOnmxhy8rbQ3uw9fg4LenPWJhJEE0Ocm26q9Zdh6lAc8BWlr6Yz46SPRJ5xOdqGIWnOuaOGkbK
BGwuMvr6qeMdsKbo07GSs6FBj4LUFfNmNR9VpRE+1qbU5CAe2xNfn8dI1uexTHtmy0A9mVSZ262z
16N8r1X5AZSXHzp6fVf+KuRTy8SiKxqMl/ISj1Wl0lBWdu0Ro+ME/zCZRmck/Tkqy93Cu1OqZqL4
RohlLlrBXvqOmx2riZXsnCl825R2t7oR29VKCRSGer/MlClIjMo3ChTkcMQD4mChLx2CxuMSiW2u
pU96Wz5MhjUHWNh+Nmn7YiS2iTNe8C9N+gAX/yG2jY+6nG/nhDxkbBPRiJO+8Lh3dV6WGQ0bR+k7
YEvNcUKFHc1oOEU40nj/5HvH3RyJehO58bnB4LHJqZ+de/s69smNO9hn4VgkF+CGCXfxO9c4i3Xh
dlPVn5wtC31MjN+l89QlCaaIQf1mT1GSpaEzY6EG0xiHW+r5yWHH1O8wSmy410y+FZY/2qlgAxIr
nklVUNB01tlo8nstG6H50aRvFhV+lSJkkMUbupgcdmbX7YeRb3Sq8Rcy6HqZASyvE3hVu5WSjjrd
1Rq3XSTq96yBgRjfZDU0ULKh06wfTCLiWGvGq9KV+Cfq/qYw0x/1gtMhArk9Lcm1itSr6S5BXo5X
A54guomCNt+2SnQkYfWSTdGhj5O33u6farfCG0l+2Gl3s2U/YAWl660Am6i9J+TBXNLXgV5Eh3Wx
10M65O/8gE+x3LPa3AW3MTmVE0+FdwNh+6VYR8LRTXqa4wz0wZhW3lKsl2lc6IO3BNR1FbNmdgeS
+SOrHRgHINDJSLzlcAMTPX4pJgSp/25Xf21XTXpu/vVA/zjQG1eU3/9b8pa/7+8jvfs3JlPUZEsT
1LLJ6pw/jPQWvkByCJr0nUpd+/eR3vmbQbGoowqi1PwSDaH695HexpT2507S/0Dy/o1Y9I/9KnIx
GBsVD5uQrCb915L3j/4yQZ69wGVa3CAZHNkTb4wR3XHOMNtgsQlG00J1CfOLUedZQKHGXmUoSPhS
xINyKPOUPJd2VwrGJF0ciQp8ZAPCWye/7v1lXsU5co39GlP/lXFb9mI7eqNt+m4Mw2xrFcUH+wt0
NvnICfOh9lbU2FOx5Dh8shjjStGX4ApimuMr51zqxS1BB66ppBQ2q614rZt9cnMJ9FBg8qpukM5S
LtLp6yQgKFeldeOY+EW0gRrlTMAhHqzqB7ozJ+8cE+riYknLKpZsc3HOfW8f9JCKy2X+Xoz1gk74
mYfd47SMACGInVbWcLJM6cQZrRuzso95nzOZxeaTDlaYYp/3KbaCbqQdomV9uplc5xaXOiV51Q3l
v1ds10GtiNAbzCnxUhu3lmiVF1d2XVZr7atmeo5bLnVrvZyoDegPVA8zlXMfDGLLBaCbuu8zZ7M5
DmeDmtVr3dxxMQiKjEWJLW5s0w0Gfb5fBAdKSie33ooPXcRekiuvoxG+YKEIrAH/kjtObJbz4jNZ
hid2nOxkYbYSskqvy8hL12TDnTqHM2sOq3hujIO1dI4clTm59cZm1lKdIJyI7UO1gBs6jGB1oUmS
aQNv2uV+35TPAz9GyH7ayxKFNOrE1JNw1LUOuFx1OTUj70OaYp9IVWbPanHw7Sz6feJUp2kKfxgN
DIrEsh6NyrpXNJvQX2+dXfKujFJ27MU1F9Skje8VMzyYaW/Qg84GYG7SRycsvxw1AfVc3BVx9gNv
+nPkqtzdNAbgiH/Uvg4FOwkl5FJUzZFHk0ugGzI+aIfkO5KMoufBX91ib67ZTjUgBWsk7ssB4LDW
Dd+OCbbEsOQYadevFeUdrqjzc2zyajc5HXS/qjrLmbym3hElIN8iNrjwmUeEW1/WpX1q1owNw+B4
hpqySkgUQV8AUUiAqsMmb6uTShH3WeCrw5nwmlj22TTM+3KsEs9OXDYnYl3ZmqQATKkqCdwFMHel
a+912Tw4I2+8yXJtMderOoREURXh66N579bO/TCFLIJKhpUwPNgZhYYmH/oN5SzBvFJT2lLuwZIo
Q1SfuNClTTt6yrp8RORAPOqzCcbwim56snA9qyo1s7ZiYRISecF1wFIhMmrFlvAIQVXyzvRBRusH
jq+PfrQeWRY8ZrkgRuHcYixjyRGthjdprJX0RHleHKWkKNzeyoRgvIzWkSwneFfBXI5Hnk2Usnzw
vi5HozO3Vc2mmz4w3dcU41ubu0uuKpdZ7TFwwoPeItB8INnuWf6ZXmVRoazaNG8tk21vlrYiJt5M
D8ynFRYcJvsQxULuyfl5RmTqaeATyP//U8tZHCxmHkL+oTrEyZX7hltMV/CRMKwiOVa2/VS3zbXL
qeTDGPxd16z9ubtBQLU2+CgMAh/cRy0Y8yj+7TkU6AolvHHqtohKlfyjs5JPEwagN6PIq6BSeAZH
icNkPrZcuJZoH3LHo3Rw+WgsWvpdHo1GlgSNPigeEs1l7eObTqZLwTqgrCT6w5QWE4ii6rbp1B06
2mO98qysxIOI4MdUq4OkVNkfsKOPtRUfNf5xiLtcykx1eFKg3XlhmshOHLg3rcmHOuvCt9Fa39q+
uWfpAfwG4Bpg+oGOZ9ZtRj881LB/aMXg/dWVynd0yocn5gpZt/JJ1ySPChKasXvDg24XNYCmNaN7
XMLpOdP6l7ZxdD/PhhfDpTtUUIrtq6oWn9YuHf3EAS25xDKrHDXLJhc6bT7pQ2npu7UeKj/MxNuU
0euGshyY5L+hdWfaRq/pA22159G6m7rjGr5OycmI9Tu2CGSp4KEqxVOiF7w1Zb+zyopMOmJJnYtu
r6bWt+BBT7rIvR0T/FCNoYSwyRfcWNaabHM7GfBXG+y4p3NX5/cjuS57znn8JjR9LOKBTcsprsCz
Uxv/YkuqkNr0x6a/jhY+AxMYQmRHtyATEj+v3GSnEUX3zDZ5oXB1l+dtei4VHv+r0l7cxVaCkcRq
oPdzyrJPx0xb46lhb72d6uhoyhx/R86Zxv4qchsSu7q2N+bqm/1zfJnKnl0yZUSm/ZJivdy1fYJ1
qW9WXAEx41zMfZLKGVapkQMkKmFO5/l1DPvVvRF6C6JrVVbG3t44jHZ8zdvYcT4GY1l2q4QYxTXd
DRweaeACpSogHWm1eeBpdLQgIGWOQaVQT7BWIWj1jK2cJ4REJrFo28cwlAyjw1wXq9/6on6HS/TJ
kUNVVTyz6lL8Ag6ThvYHvImvpC4qP5vzr5nc1MaM4p2mYgruQ+pMysh6jeeCNmfBnn1COMQaihSp
EbgeFbpBbesU8WLXn716FEZ4n8GOUsCE0eFv3+j1HMKML0in5eoTLz+nOOypek6PVFnCdW9m3EHg
kp2u8039f9g7j+1GjjXrvkqvnqdWejPoCTxAgAC9meQqVpHpIk2kz3z63kHd0i2VrtRL/z/VSIMS
CZJIRHzmnH28YlOMYKkJm65WiaiUrWx4Llpc6qO4c9gFuMJ5yAOU7BInkTtnexq1TZ2IS8/nhKyc
Efdgde+V9lcO10vLPg7TIY9AQjdtaPWGAw4mi81mLjCa60KlcXkI0guXRXBAUJcXECiQIQojximb
1vWISZ5zX/F1GSvVbrPOVeoX80EMVaX5ZW6Ybwicd16ScjgTFkaR+1wTHjZ6wsM7ra3xBykfONr2
dNMP5m0t+ys+uTvPRAsoCSSr5gYXVCJOg8FVS2RZErZX4HWfnMp4HlSmmUO4WQOTAm1cvxySgG5M
Q3kYEIWWT3qxNNDvztBW7fo0RtGmGkyQ9qSnxSpGzdXcB0hapxlvH/31myBsTeJd5G2fjqAGuh07
9XZdjO4pN3wcgzkHIaFt9NZEQxDjlpXmcSDWravJd4tU0ptLlkc65PnFCvV5FcGUwhNbmyvoUWAO
u6BaDrZpsdYoUGo2LFnYku4alS5X6+mbh7pw6RM851UNCXQ1FLYoaJpjLslUQbF1JQh54FAK2ZKH
2jbIByxiZtjy4XIEZPF71EEHF7zP1o3LfUC1xQKZ4SK9aI+85p927FcJso0A5c/bMVCn7Zf/Woov
9Zc/dmTqS793ZCheTNKPQMk5bEYDlyXmbx2ZyT+ZtEHWJ8lbeQC/d2Seguy4FstZGzvOZ0rE947M
/YUZvWWiT9bpo5A1/50lK1ien5esPizxAJO25eAYs382InpGZHDuOyXJ3Yh+IVqgIxwIux7Hgsty
jIw9H7GNsKY9Tl8opUDyX/LAO+Q9ubpBuy0FlK5O7lNHO88aKC6bqocntDyKxKMRSerHSbef/YBx
qd9M0wK77Lqfsnu3Ds8puM0F8kwkoWXq3YwcShEW3rTS18J3CZNjgaRzHerXs4LlBwqbH6OsX+II
Z2Oot/Qa0PXnlJbGiNhYwd2fQ9ZpgULxo6PMVxp0/hHqDbU++j34Cc4qVhD/vtcfekX1hy4yKMx/
i4126X6i/8kAcFUYQKVaJakCAroehbE+DjABi/RrkAT+elKBAh3lPsVSvGf/Fu5JsXPZFY3rskDH
QaskrhxHG45hglsINgU87Dp9SCRmQU20pApG6bmE9qGSDBbDzEzb7e7rRIJJy+SD60XnShrDAv/0
0R5BjFgy7BZhBei40IQ6RHS55EDmRJbdqargRWdTKTbEtm1pTQ9OYT7maX8bwArDWw9TYx6MnWdJ
7rks+dYb1ikq5muKZwpBD69Ml9bPotWWYUepmiXVsYsRBFfwnuDbdtTkY7ssVcRFU6bWokIYuhKm
i2nVvcnCiQHw0Awrc47WEjvFBjPOV2lyg5h6c21aMAilti31/JhTthuiu7Jw4yxzu6E145kJu+Yi
E5R9fsafRqfyWNvwvpuCkXXK6l5aJ8/BFw8rVltKRlE7siBXWaVt61S7ZGPZnOaM/SrVDAx53701
XfMUVKJc11M/YhGzvaWZwcu2qNBx0rcNqiHE0WII103UQGod402fFqfIDl8n2TNv0/xt1Fjuymn1
R1vK15RedGUwhZhk6678JLrBp300xnw1R+O1bIJvmG6qVd43/A0bdx9JPFez6xzbrjknZSO1m7L0
xPw+jSLbeSxOg6x6BJYogU/2Vyyb7FPRKT1VG7yUmX7bOvU3v5qWtUTwNEcbUrlWVTMQ2KJtat28
KkV8nZTlYUy5rEkI7knTW8km7oCzdcPeDZ2P2dUIIEwxR2+TLvR6tqL9fGe68ymSdQMmKBk2kcq8
GiyX17W3lai3g0cq1kQ81jBbl9p5aVRqVt4FD0VgLARxWrXJuihvnf0A8yWq5ks3m7uwT0iYcLob
YgsWNdFcpomCXEvQW4TEdllNe4QFjajUb7HuJbee4S2pvO5mSEsLV2V/xSoFzKxbPii5V2yDyMDO
rdLCLGLDhMoPkypJzFSZYuUn9aDjySkqlOeFyh7LCSHzCSPz7OKjJJwsVyllZD0+zkV0dIxMYfoY
JTuKZK7XocfyoHrzwREf0TGdaIc5JnT9khNnwKJKGmewd+/W7I1rfR7eu0YJg93xFtZntbeK/tUo
8420Idcn3gmg1SZo8pgWi8+Lbzc2sL3oqYAAvMoGkpz8acv+c6VX9SVICHuhcqWyYagsw+vUa5NV
4ma7spiCg6c5Dz6mSF65X+IMvTdIG9oiAwCdKI1qTX04rqVmnkY+BhevDG6JJduNwgZbJHpU9Qy0
TPokSjA2G47XrvhdKb2zxl4GifwSSyby7cT4wRVijU/hIwq+JpV327TWbcbfhHsAGUVEjgyWx0ve
YrRn4ckRltlsThUbbWakhIZ2G0vpodcV7EFb7VvCt/N9CD6OEx2EE13j3cuQuyT9la0ZxZo3dNo5
5nirzFtGjrYB7QO9m1/sgpE9e+fXJJuyFQg14EnWVQzqVikiXvVmRhyX16hKbNzN9rjRYnlnJoDM
mG0so9jtCFxRtK+o+ZqB5YBlbW1rB8lILyVuQ3wgplnddc54tPUmXWqW3HYMFZysuh7KSuwrYzhH
7XirT+Uaafy0cVzvqpTBTjO04T6ep24zdOZ7FnTjgpAV5jzEZM5itv6xdP1aTym7+p/XU9fv/Zdv
/6GUUl/1WymlY55mGg28jqGIqnz+XUpRZaHLwLhFOQX9Hd3u91IKyrLpIlN3TVOx5A1UZt9LqYDv
h5fLC4h/9NXY+2/MttEo/1xJQfjxsJQhWWOKzE/xe7la2CV4V0CPnpPiYk2AoMxwGhZobR/G2YTt
O5ksgYBh+bO49Sf7De6KtvRotxGRwPec0HEsPGBaTRacLd0qsZC4b0GcnUQXPEL2e0Df8dF10UYq
LlcSeC+iyisWhq4q2eatbubHUtG84J0HmMKs60GX8VK4ur2ADPPoRu7MOMbNmcPJJdpawaLNec6E
9xhN8xuzyWIZAhMbgIoBC7wA5L1OfBidxNLf5eDHSiaX1yFAsnJQ+04QZYafQnwpenIUSn5nTFGc
oEDh9x1wM2rhUC26N0WsPbESBvMOIk95ecGizUqOVHhsnAgxgpkGPI3Zz0b6wl8xb1gYtvGNAcW5
ydj7R6QLEh2RE7qEacWoGoKymXM5qcXnnFSZRQSjbh1ozks+Z+baHUKP00AXBw+BxgoiGdQ3giQQ
rRIxo4BwWNRXAYg4f4A4ZgGNcyf0KnPtPNJ9ymwZJbV9F2AFJzez+4TOjaBb5wdjGCgie6b88crB
1RIzrGp71vgTngSIRZGwVyF8tYXEZeq7aFSaaauLcTcPPWaxJopIxoyICrT7pacw/6FjPNgelwBm
0/cqdZgngrbrIfzMNspat+HBicPuoQU4m4j3OqQ3hVaEnbfZQ0O5GmuPojYtdqWpa+s4qzBPeTjj
FJA+mzhAY/1pst1DXnHi5w6zPMORD2gLb6PcvjWYmKNUgqg2bhngh7vECS0u7HBHkgupv9K6Yv5j
LAKt8vaTxsx2zv1Hra99Qse0zRCYWz3pWbMn7K3DYT8HiK+RsbvEgRWrQIHselltkwT5nu7Nl8IM
N1ZHRqSGyaOuu8dZiCfhmB/szYFNp/JZ98tjEWYP1B4vjPAu7B0T5Or+Livm56amJdHLeBfi/FoK
hD3F2B5yLuqlmc7PfQuX2pBfWnjRxGVfBWmyQtD2gjSvXYXWQNegs2IVtZJK1g8QDftF1TGo0L3s
KkMoVSn4X+u9yIAysu7cU82VOKNGxw7GgEwbt1C5l3nXvaLGuTWZmnoAZCzbOY+VjnnMnc1j6vfY
td3iOGc9RW+0yYpvGSFpQKIw8Cn1UKLkQsp/j376krgOsWFo6QLl0W+95nlWrn0S6L7kysfv6Fm7
1NF7GcTmKA7ovatc/2NJAotVe/cFQACsBS+zH58EoADL1LaGIgcEIATQl+7IeOAxAtSMuIoHMLwX
KcjnEPyAkxLHlPTGPY/xM+UHEe0hykSQBfinvwVcq2vi7C9lyKQ1bwxbAUY9oAEFXDpFP/AVB8Fh
LHaZsuA2Y3GziBUtIexjfY0aYNgUbvA2glTIQCuEBowF8rXDFXIpuAuTxIuQOleV39iXGTgDYgAw
DUjv07uqMJCgUbkQqvEwl+WRrvDNgNJHlMK0I6pTW7eZeY1OlNlchVBzEn6xYYH1jvJwXndenDES
rgQFKvqyqg34CyhEYKpggaFdH2foga1pIEI09jFUwRqWF6wv7PozzSIeQJh+kCipYxDxYo9ScMIp
ilZpnHdM9OzVPxvtz422Mur8+ZW/Fe9F8cfhifqi32584xdm4rZhEzRGIKbSmv8wPGGHrW57w3HY
xsHV+/eNTylArsx3C/e/kXsKUeyzegYbHAAKwuLzd658uCg/X/lAWbCC8z0huoNLVgr2HzBKxdR4
5tj5wdnMmYsiRJqrbf2ZbWVpDE/XTkz25SuWSNw+n0lYTE2KJWO4I8kBx7ogChDgwVuGj3Fiu9ib
bbSZbBvjWmWJUeWAzfsCFPm664MbhNcfghyuJVlUCLzMreYRCtkkqG/lVo+qrV+gmKq0nZaIN6ce
raWXlscoHW4yU2HsSClAwbyDJMOmgRpf7UoSmmnK92kLWvDaRNOXmKwth9gRm06fdmx2gZ9rxlua
QyuXvbOvfe+5sj3SQIevKHxOJJMJnCrA7F8CqLZt6GYLPMXv9eSvMszVizTgWCaPSTId0jaQvYCT
9MZOtuVVnyG0HlqdiClLq4ly8woScpnqEw+sr5pyfkIDfwKbkKOwbbgxMrgqJiL32AYQYVEJ1ZmF
GK2OCKwejC9+BkKsARInbVoUo+xe8jF87dIUHWt5HidaIC0PnU3emBX2wmIPc9hD6gy72ACSttIH
u1+UuV9uq7i3Vp2W5wyMAiho003uZFBI2R+QH/Vtyrn0dJhwKKdCvNuAxayINaHZYc8yjI/W1A5G
3+2HdjqmuA8RwiE17BuPNmfohmNZG8wQbPTmo9tyU4j3XCuGZ97Pq9Z5nXP3ZCfNshfiImQKiyW8
G5q0XdZE5DUrWGIyPmpm0SHMSjJKikoQuuouCDYI5PUYOd5eNL6NhqmPt4nvsw4mNi84mcRtHbys
7LdwTco9fxfGbLaeVIzU/OAuzELAJ2IyRhzWJVuZ3pmYBtSOLVaiG6OtwQnNIopIo6MnREdSrOvv
YN7oz/8ch5/HofWXAp9fw7OKpP0PFkr1lb+diToWSpQ8eOgCvu3vLJQgpEB/ImcmqAaNzw9novuL
anIYN3+PmvmtCXKVYohMLcc1kJ1zJv6dI9Hy/tAFBSYMNt93GGzTUql84x+PxKabHKfPfI1U0zxF
2rDvEyzQhXCZ18IE3WTetNMQeS+5TG/UaFpZ1KvFILHYTLhiKKg5XFjqVuSRLGm0WKYNU4hjxB+Q
ujdvQ47TJx1fK12e2DjuZ8/1j1Uu6rVd4g+srIcoqEkVzFM2L+J2xC3CiMX66hq44T23WYaWfhPo
RPAOfghcGwGjPnofo1I0pkN1lyNx9AzFcc6wYXYaFQUbtWe7q7oVXtBVrjSSKQgqsJfapkC6wunB
yEwpKu0QPnvT5Yf4U27pKOXlPGD2WIWj/Vp9CjPTT5Gm+FWxWapYVWKW9YozSOWvBpWJmJhE1sog
m7VXKa2cyODPJ2vdOyS4ZirKVWW6BngMc5Xy2unpt5bYV4JOmDKrJFirvSYUzGxKD3AEObGEt3D0
ER3rqQxZgzDZVKXKjuyp19NIWmRDlKQbNs1B6sUb7KMUTo6IS30NPoHJn5vb5o38HNOT/LAamN7r
Mc2NRyZPM2b6iobmuQBiQtAJqiic70c2adNS84J14dHNRhXirfK6MfDdYAUU7A9GJ3xmL0HFnbFb
KBmGQRXT96i/qSP5vdd0gSaFcIlOVU1Z+HmeSE5PDj3MdyZgzMV9I2TOOlj5OfT1e9hc9KEVh3zA
5MbOE8IY20EmjyQZm2JdC8IO1sbg47mfbpgn0am4mL1SxYqoK/0uAlAQypoM+No6yyjYaKO5QwF6
46TePhTzNuu7HWKKBiJmdN/6+XkMOEpHU11vPQNLxToj7Td1ur2dp0+OV7JojbfD4D/mGnuNoGZG
10X3VTEf6yG5q/PuOWlB9I8II1IRV0uXTDMwWBai1MEBXImCY/SmIyoBHWoKV0jXpe/piMCl5mfT
pshZsxsAJ2uSYD2TsDI7rybQrbDQ4Yt34gTW+jZ3ZLWfCPQ9Wpp9R3zmW6Gxpm3u684wSDQNbqI4
ZarcIz6dD7VrPOpBOqzSMt02Sb1LJjbJJVFMSZO95l2UUHaQUtJONCCyIg0hStivujNP6PAlCOE+
6PkAzm1m+tCfY4jnpjlclY2G3W5ERe28WZXurogRv5ujWIEwnmQ9KCXTo5C6sdbNaSMLfCZJpl2H
erBN8+K6QyG9iIPirQ/p+qyBeW3EbMXqxZUQ/G9GcIW9r4Upku/9qDv2bXHF/zmzxbIspgA4saie
hLkxElitwMaL/DamPjQB0EYvKTHShYOwqXb0jxkUFxDXlyYYaHB7SKv8CJb/Cu/ghNNNW5ZTu2Jk
sGxba1dH1TP8N5KGcpC07NqPvtnd+oZkujnScNa19Zx09X5oaoyCPT4B38a1E+09z7oxiZJZTnN/
cvqB3Byn2IZF7e+DutrFmcfNnT0xPT1GevPgFZXO3J2FQGyvICGfYhJaMr17ynL7rk54L/Kq/2rn
anBUn5LePI8i7/bRROJEmvQ7YcorGZi3PCSHskPSQibuuQn1DcIKMhu6/jmHp0yrKzZ9o19KMVxp
gXGlkfjCCl7b2xNKzJr9FDaZfB52Q8/8ZM6OUB62rZhv2j5rQTPIk2XVqP15ZH3Yx3kjHvCuv+L6
O9vS2be1/d7YuKxLd0+y4mPfJHeO39yTES8Wjhsi/4z3Xu+/ZXq1N3J8XXNe7vEkHEncPhSzySfM
GE4xXotkLl5HYd0Rz4Gaf2Kkhbl8maIFs9lLFlV1Rqp9lXj+xz+1yWdtovbCf96q7br8rRTf2j92
a+rrfqtMLEVwYCttQd1SOuIfujWbbGqKC8vRrX+l4P2rW4OCbrs4isnQAg/7OYX9XprYat7L2sb7
twv5bwxof6Zt2cjy/ABIpR2Aavd/XnS33TSAEXKGS6cfIqKhptuy2f7wR+Gpn6Ky+K+iyy8lKVfN
//z3r5T13+mbYYrhc+SGYegMjZa67cfqh0LAStOsqS7WAItcxUA10IdjyyysS6wzXFSs7DG7mcvE
9a/jOPae6V7M7IbseOTK7I7Ng+lWy2Ys4RSMSF3E2rWS9ZwY2O+4BqdJXEJHQ72l7aeG7YQs71od
mdUUU7FI73ZMml04ST7i+bih2jRWji0PWjWcNT97E1P2RSNHqquqfSrSZ7BSmGeSmNVHs/ZNsffi
RqLLrT/qzmMVmAwrQTe1TaTN/hcOMiKyYSd7pomdR53k76TVLPn1niNX3+sBiGjSKQ9yLN5Fw9yF
sgceVf4eVjojwrziKtFHfyGbekOG8hHRyrDyC8WhQZOzqDz9bWyKg2Uz6zXs4p7i4xCa5kM90nmY
Sct5NzXLeBq+EnRxmOy62Mi0OhXxOKwC6VkrJyFZNCxrDkWWO55dtiA8rRMxKfDPGutGDKSizX33
rKXWZh5Y7DFbyCEWth+pJ/E6JmYJe6G8FKV95Q21va5sybY4k4Sy6ARUVS0d55iS6ZVUJqKD3keH
WM1PBieVxdu5KDvt1hnQV+amuB/yAMWEn71oskbiOlT7AJnYtWgHA9RjdmAQStKKIW2kUdExar9a
iOCDDpV4PphLe5T4oUTxFM4wKkPpY++MjEPtd/WqJYlv9pyvVQJzaZjqKxb4X321fiSZ9cPPWRxG
wBdWsg3uQat92Mmw1GXynkgUyUZDLJdJAC2lx7KM8ktvNm9GmurL2saEDTZ/L5IM/23fboi2gMtm
QcO2m5YdvqYH6K26Czyhhz4irg8lA9HMca2c4nfR2BLf4cFoJZllLeyaSDa6cxCsyOj99M4kNBoS
E4LFoH/K9BkH2uR+pAjN2c7CbEaXu7Egyy60kMUHyV/s9tKkWnKuPESTvCPShfsjs84RuSqruIwH
Htbxldgenh4WF2t/4O/hefNL5oaw3JktsNJ/t43B3fS1/pBFAldQQeau5icQpVrcotpHq/kvGiuZ
hUucpGcZlIVjCONq7ZFsb65biyzG6pMCjjROhkhQMYgTJyDvnWggbMZVa1Gglg8Z/dremcf04lrD
vZQUaXP1nsPVg5JCBEhZfTNayXQZSyhkJryr2UAufZ2kT7bdroRLUmfjPhbBetxOKNyPecmmR9Nu
6y4N1BREyGQV5oS89+BvNW9EMRZU5bIRDuIOnt/IqiCsk5vZOIBzMaxqHuJSPpsLK66uaQieyZ55
T/RRLjjWSGBC7JkjJeljLAC+/UUbOyqp5JA73UvUkRrEmXNbF8Y6rYzbEgnsYGi30+StXC16NDP3
pfEdCjv9KhiQlXr+ZUL5OTftBnn/Mgymb1ijBA6wdJU1bbbOKdgzaS68pmYci6e2rvprjyirWuKz
IIx3BZNgWJQBprgU1VyoaeeprekrgoyopOYdKs7GlOOT1rw7HU9i73oby049MlZIJQdzFw4M2NJu
0rQ1EhLv0Yv6Ee0IaNE0op9w/KqtrjOLhJzS1u4ICV17PZHFKJY4txZZaVdE9mG62LZTWS99FLfw
A/PHTDabuh2eh0E8IuN40fPautE7Z75w4clNLeQXaTJMrq1vY+iflcYVwmu0KnI8ow6OilUie3+p
pWgZECkE9whkplOUx3dJFL2lZq0th6wTVzW2LAZhLfB3kD5Lu41fCkb62hDfJwnbq8DSDl3fPHdG
OWPqRUccKqB/xc+36BPunmWQcQZ0mnBXTVfNZw3x4b2bYpCeJgIfI8Vp5lPePIVB063s1st3fJr9
lRQt/oK+36GJGhCmg5O1iJ3cklkcM4mqAgIjWMVgeHV2gwiMHXO2i5O1t8QiKyvYNu3V8EwLv6I5
QC3sGveMAZ9rY7yLnNrdB3b3rIIo2QzN4fVfX7u/HzlQOiCwC2wmDi5zWJIHGSD/eOm6OHlM35Td
pfSHtWucU//e5adGVU5W2tNfv9bvqwj1Wkyhkd0ZAKc8BH1qIvzDxLdBQtuayJwuPpvL7FFOm1h7
/P97CfUj/PASg5BCDJ0YLhUfTMLFaYdf7eru/+FFAobgMK6osZTl68cXaeIsg9c0DBervpflcdSu
tX7/1y/xx7eFP9UPL/ETS6vFQxUZ9jhcbNbHcjOToE4VUnhf0un/eCXWAD9Qu/71pvzwSuon+eEv
hgnCyd2WX0aifDcKwBDmocuxKZJtepgJ+/3rX0z94L8v8gCH6Sa5g7plBfBzfv9yrJ3GuW6Ngens
s8Gu2sNlEl9N+T9z0F+VIA4P25/3Gi8oRv/YZ6iv+a3PMH7BSBgosSpvhK2K7B+2QohDdEdHA6J/
Rir9thWClM9bxvmgePm6o+QZ33UgcJAMS7HnfJZGJiudvzMCBQ72u+dDQeTYCeGoVFNVDqTgp61Q
Ww9pgVF6PFdtqC0qH5FpWN+3JrFrqcn0gJSG8p7NqzibbZ7fNV1Y7zTd6HbdHBqQT0aMzyXBvdK2
rsHl6etWkG00eSlSNLdftvAQrmLZvwXdUN2Xk8p2lGK8BBhrwIcU3jLowvLeZndSMzoEyhWsetLk
z2wB8BcMRXQLYBVOI9kg64j4u1VjGA9w58VOCKsjwpi0Y4ZY1uRTOnb1ZrRTc+X2mPpFwlKKELJX
TXcHdhn+I1158iAx251igPkbvBv0CVkxLsFpmufE8MMN9qhgJ+HLnqPBhA2a43IbKi9Y0bsHO6Zh
7SKKQOw1oFnsigBGOrBjJ6dtFmgvg4NJtC27ZUAs9NKJQdN3NpPHSF+bUX/Iau2qL32CG41TWeIP
1NuSHsPtSOHO4lent7+MLtBMmMBPESPm2inEuoojBsVRctfaMOQsocFALtAiulG0y+Ze7jQ3f7ci
StaxcA9ujYS1nTHJwbEgQE5zyD0PWeIXzvzCG82V61Z33HzXtpjegObvLJWkblfWt3BqLti6+2PG
FgY3CrZsOfjXQIbgmIfztVPylrYQdZmdXbLcejOt+mkesq9aCBSHlMFDJsYzchaANjjSkDjTUuId
2dO0OEuWMs2KGPczJxRio9zeufjVyX1CG+lZhLob8UsVzTeEuV6lkiGVNs7aAokomhZMiEuXbHj/
jP0ltd50SFzT3mthd3hxdIVoemb7yGZtJTCoU8A571qTbaD20KpoE4RoJV4h8/Kk9+LQo/KGF03z
R5F8ZNWQQqzDOBPqBgo/B1bE5GQgEA2kItqMxYMVASqaGplnlKERxlQ3xTiYCByF0ZkGxPoAtXOz
mT9y0oR7bWokzgporQMf8KXOk8pI+VYUAGD6xN6PfqBqoFy/L+KwgTFKUFIJ4wZ7Ls1A4OaKRQIj
QoeNOoXv02TuEs139pnj3Ndt+GoWRbv0MhamXnBN6SywzTjuIh86FFnC3Wt+bZ89KsIFo9p2WRmJ
uxlRCPUZWPuwdY46nEHIFVOw1IGa1KJLDmzLrpDqgIApcbkhJILv99wY4Vkbos2ApHRjA8VuJevB
JZbcbUP6E6kF9G9SvMXC2fglPCOTj0mlOIVmnr8idTiMimCYaR75MopqGA/wDUNFOkQ9FR1w+EGh
8sPrXmpkegfu2iTGm/iCnucc/TnrkfFmMhpkukhAD1yX/qJTlEVcYrhQmtLeThFwDV3RGCtZXEWK
zzgpUmOjmI0yNbStrTiOpaxuXBDHmxnEo6ZHz5WWWxczxczD6ZfttcQOluiRDhqCtEixIgE9vUgv
jT4aMJKQ2jr7xgMtOX9CJotP4OTntfEP+c/iQvnz+/Puy9f6S06Q4X+4RdVX/nCL8qmGyuVxWPwh
49l3TbQN//oXvuq7toIgZ/yoOrM0/vN5Vf5wi+oGdzLpQz7B6Cgz/tYtav9BW+F5PotMz+Qy507/
Oc2IiUNBxOg4MMoGmGSjrtxYfZyuVfOde2OLiiwDnQECrX/BeXpVNUSeu2wUF0xsEiUsb1Yg+Yzb
KHLXfNpJzJ24G3F4aFfYTr44oTlfB137PriyWXtpphbp4R32VvfE5yUGFUJnV0Gxu6YfWKdR/NgC
6RvYbG3wfxxQRR/s2vjIxulxiHOIXNlZihqQpbkLQPUpv1wMYMeq2DGxRJsnS6hFWbOMAuKROWDe
U49kG1d7zXrtfehjSZ1A3s04ILQryvybVEuFTNdIfOs7aGwFK0uU5AtcXG9TbGcq5NBYClKYMZWh
H++m8jHOyxvTJRikBCDiTUztZNf29H3bLiLfbe9W1i1LrRNylPeZhnkqLq5RDaBxsuuCPGNmF0+5
tBYhGR5x4dz3DpePnn5MkVKLCfPGV34Tn5gNBjvNA+4VE99nW6HSjsVmbAVJMAEpBrULage42YoJ
n71rfB2kN05DwrapSObSnpdQWedlE6bBGp99QyvK5Uvm3CLXrG1HpPKtQ47fakRmB+yNSYSREBXo
lJp1YliALRERKi5Pho2YVRnljmxftVLfcinuHZ3IvNpqk43dpc6uYxCRPRaRAm6bir2dNgrDLT6R
3KKfl6PlDot+TAbWQP4Hc8vdCMg7blU+42fMavsZuVo7c/INszTploEhgl1iG+HGaeg4PZ1zr1G1
T6SqoErVQ7mqjHxKJHyvI1CZ4DVT1ZOj6qhBVVRaRW1lUmQFxQDMy0FrEWLcUHUYIpIHraMy61Cl
rcdwLra9qtuIKZEMT8zi3CiQlKruLMq8MZ7YImOvXSLNKZfgEcdLoepCX1WIEaVio2pGLzN7xKLx
e2XEI9fhBI43MK41XxWbOmVnroFS8oK229WqJjVrV9xJV8KpLb3iPlO1K3cf8wCbupOytm1dQhOA
F6PQdXajSxZ1B+AfhBhY4baczoMCDWtWDeYnAz7sJKwCWwUknpLQPbQT9JiwWsp4eGT6xpRPYYzL
qGJzbwcT7jNb22taMLxm6YCGYJYhruy22I5VmX3NLKfZiW6QDL78Qzbg3O0VRrlusYmt6hk4M5a8
+mZQwOU4svyT30/XjesR+ik0UvdKYIeQRKlvdX9ctYCUTpo/4zgyMn1BNtO8/uc++nV39JdOyX1e
vdfJF/HHns74wSZpsCBSSYhgvj/VfNwG33s6A4WKDtOG4Q6fEoTf/76NWDihw8deGfCFv5orv/d0
5i88R6BjbVSCv6b1/o3dEWzbn3o6bjXbobMkMBG5HyG/v+/5vVjWxajJ6TRaWKQ3PCIkyFYeQUgf
+jwXDqPzlt4DVR0sy3lXupk6qREqM5FybcgbJoQpnzQAPtu9Ny3AbH+lmm+WZRB+IQ/3DltdjpIW
0becXeAgDlcGvV9zKl33A687E9TcZM9ZNMkGcKC19tjOr1t38Baw2ZwjuuF8rxWiZX0DYXFaolin
30wjQuyhpzMdDI5QP7MrLMDFil5r2tQO24lWIrgQZM0uibbFhgVz99rup0PmoGAv2/AqT0DxZFoA
jwoho8+uhOwvglSnzRh4sRLrw4JiZk/8lIcmZmTCiQOA6FNbexGcjZU7Fgcv7u4NN9YZXkMXg2JW
cQtO2nWdul+BZat4Nc/Y0uJ9zGn6CqoMmLTdGznmUy88VnY6PdR5iwqojjHzWKjX4vS9jWbzhTUG
9FJ4upuesK2V1wjaNZRqkh+3CK6IuTAwBOjawa5G/eiw2NsmsYmHCIH3scbI44sovWOzhZVtutcq
YuxKu0Dz7Zc3ngtqkajeYunrtsu6ga3cnEFWsfUBPeSUaUcjptX0JvKiXvoqAhOrW9lVG05Gu41y
DXwEcpLarc8x711vQg4+TQY7mIUWGcr2l/KdMIsFWnuu/EDCykWlB8Wgncx7zexEsofsjSqjL4Jz
QhyGhNzjIyrC5mSF5wB9EWS1LPjojSA7mkBujSif7+yeuevqn9Pr8/Sy/49q+tPnXXfzH88v9ZU/
VNOOb7Dw9V1kx59gq+/nl2kyXkKExtnh/xTs6OFawikUBB7ea4IRmCR+P7/+l70zaY7b6LL2f+k9
HAAS4xfRm5qLVcXiPG0QlEQm5nn+9f0k9cmWZL3uUK/tlS2ZrAFA5s17z3MOmDedJNpHBvNktMq/
JcszVbvsu54lv+lDpmw7DusY7amP9e27FqkfaKRMExBwzseo2BiTQxipSX2VjvljVAsPU2Xk/I1J
yZMmpNXPdruvbOO9B9hFE5sNF0OKZTC4MyJfvdvJQq5pzdgUjlhFFnmHfkum69iNPw0BilOjZ2za
55QraUu8oUsiChHVk38VVtm9XdMOqQYV4JHMxymZ7qVsMfqMHoNY3IEH52dXabvwAyENR+m9dEKQ
LzIkYAEdg3Xi+9dQwuNihMhj5t5tpAmkR67gzkH7FZfjtNHHfK014w0A9XlUgF+qVZc9Q2FpVVtb
IYA9LGDm1reAIDRnpuLUKFxQtmKb6H4I7tB8nhRSWEjZMwkEMxTwhrBItxQnG0Ie7YVPkmBT19G+
h1E0jNBdMn687GWF0GmW++CDaRyzXagoxzHpwlVaq7J9vgmkIiEVE+kqOjKN0KNlAJN+GV0wMFa6
tHQ9g1TGiq2MFGUpi2g7KO6yUgSmplhMQ1GZjOg2HZimULymANxMFcGJPOkmhl8pmi8mgCeK3XWn
iM9IsZ+h0byG6O2ovxlwWQCisSJFhWJG2ZmYDUKRToonxRVl5wGYIhTA1yczTpViT3VFoUaKR6UX
a25n07yzFKua9NhsA6+WimKF0d4limt1AFx1Rbp6OAkEoK9N0V4NoLBtqm9T0NhCMbJ4bj76FtRs
rvjZQI2yfZDaGbR2qqYnE9QWdPnFUuxtJvqbXtG4BlgurzyuR0DdXhG7HJxA0IzpKlY0bwDW6yu+
txf1J/ys6YbWhrmPAKlfQi1z15Xb+fZ6ysnE0eeNneDlWuPmeSl7zb0oZdFcjw0B0CzxigUTJUu0
7XhA2SRm9rYAe3IZYo67lpDwyRYcpIL62ScifGlN+c5KSl6iQc7fJbt6QLvQ2XzFHt4dWhbO96Is
2EzMaViK0r31KufQGtNbGlbJykjsmzSgF+dgdTxnwEQUEIYfk1/j4CICoPUlnkt/3xbul1H5GwsP
aaLd+w3z2Oa6RcPAg3gKKFRWRJiVeEYB20euhtmatcYuTAE9HtpVAttXxdhjkTrIaRMbwXtaYkxe
T4wHs1Y/92FXLJ3OMlfBnB4qk1TUWXeqnezw1sHlEreliyE2mxXusc8x/sULx2nbY4hS4CSG2n7T
9SC5K7AN36W9N2FCl4bMAf/dnb7W1v+4O+05xf19X1LCq2/7kmEjCUeOBRjr/ZTxQPwDAlvdFP8/
VIeS9luXB/sRB+DGdVx8Ienl8Fff9iX7D5KLXZxC0FAptfhvEjQ/24+gUveFeg/gu4Lc6p9GdyJM
S0P2bnuZJU5InHAarcYiQ7lyPZl4IijONQxmZ22FvR5y7/fJwL4DvEWWE0ftgccswmaj8qJqwvXQ
s7Gi5dRr14CQo1N1LKppKLaGi5aER81Kowbv7iDuOX8HfpG/zDX39pXbdX6dr1y97K3DaNsDEB6e
inHz6s5tPc9kdAVug93uWPOEsbuF9TZuSv8UVnq4l2ONh+EwWPcVTdvEIwir6orEXlhJjJCpGvpD
NOGHTzBDfuliOHZjOMnwSc9tuySqMJSfeqseN2mDOQYmAAXCmQJPAM22NsTWhQQIYMsHrCqmazTB
wR4L6OGU5O5wacS9gvvL92IgXmIxmmb96kXAI2lrmd0yDGwi3zArvDOHCq9iOjrEkKb+tg/TAb2R
xI1wjrapZokbb9ZTllFSGtJOHy08xOFi7LbF+t/Rp8uaRMdN0sUNWT4GlrlNQ5QhYi/xicvU7iqc
jujRlL6x8v3QfBEzphDhPJPUk5id+SmhrX7oqkbuJyCWJ87uYsVYGifxEpnE7GXdueuSz3yl+b7C
4fTWaAB4l7Gueyca5f4COXV4OWWJXMnJji5tUICt76P6Jw/Zu5wrGhBZlTOMmbJ6GYLjfEbQnx7t
IWgeukyF5bB2EpoZmYhUjZTYhJCBxuQzMzLGyrlGfqRtqMybKxHRssM1uDjQNMGVo0kuaMvNKIE1
b1PZ0/g+kCu788pMXowFfW5AZFc70dHQL7KoSQskwqQYtC0HjGry8m0pMTG1cHWiWVmzBc+mH1yk
teY8IKJ6JDPTPJoapRlvP9hoSHpPbDlKbFvr52kOx4vUG+K9jPCspt8WI+4pp5uwhofom6FaT1E3
Msebg01TNY38t+7/OoU2GBv/5y764a3+BZuofubPlRVrXAP3THwgKNI/YJs/K34dpgZq0Ya3wezW
ZT3+trKyfH5IUBUiwzqqVKjfVlaLlZWBts5ZwEF6Ln4ryszlnf1Y8PuoYQz0riaDcANR6k8NC6OU
TN/m9tIlAnyRANmQPBmapHVXlr9FZf3aBHLYVKUd4qY5E3B1kTVeR1qDG5nxc2SS6nAOgwJrJ2C0
MkNUFePFVGp2516VCPuGq3woLwkoi+6wYSfaL8SuhHDBueFIHcYvIrVZxPNJbks9YL2WqH8CCG21
xJvWHG7aj7u1sscaYCLQMmImjdZNm+csJMGxXIxkGOLoLjqniZqNycHFuOAgMhe3cubojSYVjHnd
FvS2fSFBF12s48ceZx5CzuItBqDVeqjwL+gTx1gPY4VFAsHcDyS2dQax6pMzr0XTTbiWmj5QdNoJ
p6KnE2iAdVapEYFRzs6pm2DhV6VZOLe4wwLlEMKAxzzs59Yg0729TURa+2tsCNLzaDqhua1c/pvx
Q/E0D5aPgRJBk1iujmHh7sm7Efq/jcWvj6hSJf3nR/RU5O1b/Tb9vQBSP/ftMTX1P0xD+C6pyWh2
hCpl/nxMjT9816N/CPmDTO/7xEFwOag4FwzDYlz91zOqqh/PB6+DvnMofn7LMoQx298eUjZIepqe
EGjJUZT9+JBmJRv9pFwRMzH3G54TrD1199nFxqxwu0ezde6T+Zrw361ZGWuz8q67Vt4DI+EBKXAo
LhkCVfl0co6kwH4WQ3Kf4V2zwj0z3k51/olCvMV9lr5UFu90SbmEc+nG5iC0DHu8ykzdeNHyvvxk
tDn2zUE6rGMrCjYzubtDBCwcyPoiVx7usTJzx9Sdg93zrLWLVLm9D3gJTdi/E1D1Cjj0NCpfeKcd
T7hm4hSvPONLzOM7njHMDvGTn3TvJVIO81g2BcBYNiAQ9vMoH1905UdPCt0+aHCodzwCZrGs77Gu
99FuT457C9WHImBdKYd7Bvv35Fc9e5G2G7DAb5QXvmuWKx+LowyffINcZzRdOHNEl1an6CTmYfiw
fSnKFrE7PhCVM1z6EdkzRWTuLWJRkeUyR8EY5VZWpxrzzTZ5hoWrFrzFLe4fSFc47qTK3R9fLnz+
leN/YAH1qAyAHsc4BaNt40A7OionoFCJAUHUrYcivimRZjgqU8BS6QKgvShi0i+1yh1ozQZsrNa3
tcokwGz7CuYIRBtjXF3lFoS5eGtVkkFKpEFAtEFjS4yO3PqTrlIPGt05hii9C+IQRifAmIGABDS8
Z0SblxluV05sE8+HmHiQKi+StFUbt41WpS2kKnchV3boklHr0hl67L0SixLQpTUdqcwGnFO52VSO
Q5vNV37rvtqltpcaSQ9dA6CnA1KaEHWDQitdGEsH1nJS0CUxvje5wjBDrhy5zvc2fGalQE1dIZuV
ZuxTrziVsJw9TGcI21kqyBP7wQCADPCzUAjopGDQBCq0V3go7iyPnQJGZ4WORjCkgYJJk37cZQov
rSUZRvPEPA/EWcC9Y3zuvXM9Dlibni3gwwRIiNEiOVK4AZe9x/wSkCgGKEqJ7UTWdyoUaTSDHOE9
e9QR9puKRUqBkjzgpJga1g/l1lHUkgO+NIAxlZ12H4E16Xlx0YE50bTfJ7o8a+BPORiUkyC9Smd8
/ACkmI6dOkVMlcl4neIdOwZEhXQOwXPDjgCHvQFqBXy9q2R4IS0YrBorlxIoawDO0hWl1c31KpDt
06D4rcaaNxFAFzHodG1AvGpQLzsqD3BstCCIT54UDcaZ52yBh0niuXJwsUZxY540b5uieSS56sC0
4tQBmIVyusn1lCEYD32Shhts1h8lSBpJZbvMiTxwwnzrKGotctuTUBwbh89rC7CNIc91pkg3qRNC
CvrW+/oTxomgFXqarnzwONwFjl2NtfasyLl8zp46UDq3I6ibASNbPu7+wHYidV5m4LtBI0YZGC8F
ysvrbtcoSK8htSQC25ub4Cn6APncD6gPRgT3yQ/Uz1PU36T4PyKg5jWzzIMPGmj5yX5UrKAGNAiA
c7aACANFE8aFPA2KL4wUaKiIQ61OL+EdtlXhX9aKSYQu2GSKUoxs4yEyuuMIvigAFQ2FM6pLKDz7
U0nzvWjkWjDtNKT2OAJCIii+1JMRn1yldgeVNBUzGSl6EuP5VaV4ytogZEoRlpWH2AfkcvIzTPCB
MBNgTKwLhxXD5geUjxcVuGYItok7+jVO0Zi1WXdQF7goz5/i1L2lfSuPuSI/dRDQMstPmmJCA4Lz
LCBRo3S2HCQXlqJHsW+01oMiSpMRSMWUb4liTV1FnU7gp4biUA1ijjY6aKpb0S3lpiiXpuJWHanv
GkDWBqC1AmydAFwDQFdspIncUgJBVE58ZoJu0se2Cvv9aF0luBTGMLNm7OBKnY1b2yqYFcu7SOG1
+CbtNHjbdvb2NfztnBqAlj5fjXGGo8nRQ0/XfWfeJgrd1Y28WnlYIyx6Y7guhXNqPkhfAGeoX8bD
0YP9wQIHdIbNHCfMTIHCYYW+q5rxrvN6ns75WEVM5RzVmJ6mckdy29aVuX/lqcZ1plrYsxZVC1O1
tXGLGVFcZJ96Ot6Wg28xOww5N+hOqRNTfLsk0WDtLqA7uxpV27zo/f4ixtGDpJnpPa+RKPAULxJS
7JdCNd4dvAfXNm5IJMqa5PzSnndDTG2MsKFjl8UOarxMHgejpYNfGe1TbLiED2A2rGHXP9jXzZDP
nBNnjE6H1AI66DPLQG89k+JqaMdB1BcID66IRtxYY7wm9fohq4IbWUEOVSajRvLtzdTr1jgoPQUg
60tXDuvaAC7ok3HbWQRoiLb91GP4ZSTeM6T7qR8mNpmIBIF+04LSR6K5K3UiOD03fGVlfdBFvQuG
8Kzb4xud/UM28zX5YbTmRgJa0cRTOdsHN8pOdIXF0nEz2t7JRiuzi75ji6YH6a2++sQSF5YUN+gT
UX5k8x6k5WiP0c6o6dgnNIT9YWEXesIhIJFoHMS1P2S3LXxMX0zTKsvzu5xO8zLTkgNivb2uaydO
cEtKIRDuat8GPgcGOjludZBlS3KFOKQ4DmHAQqK9t0m88rNKjEMldD0GVAqTXeI0G66JMMRdoH3L
Qv+o5TQYuOlGIJrOTz/j7ysXDQ2NQo9uahVMZWKCxixzITJnF476bZNoFfpcYh/B8EmQwr2WaIWA
lDg/wDul85tNGxu7rDOfes8CUjHGDTGAS+EiYAi4H6OcxI4pTZ4Q7i6lYQMhw/T7CWIOxjF7rYwf
fD/Y0hu+0nszXCStcTcNxkbE5WNhOPpKZIxLtT76EtRFD9g2dOs2xDnO1i8DKV7Q7jrrKC7XVuAi
DI72fqT7GykDzFtmYqHty7Y0+MQMh46Oyc0ii8FeDp6LbdlUGutgcrxzYRQoE1F24um7Clv9OrW0
Y9qO81KTYtM0xGcGRH4tavpfu3Bynu0hnrBfq2wsZMbjiAf3SkPAO3KgLDXn2TTpk5QRbmE95Yvu
dJuk6dNl3vCp8avb+WrpqTy56EmE3ckaia5dJqcSH18C5WBizPpA15EhjdOgva0zxqdjQ4lY5SuL
/2IgtWJ+dSujsUSPwxDaNbHMbbvjXKtd27aeRoMHLdY9uapHxLzVZF0aSXSZDNiNxhYUczg3xzKg
LRiN4tGUqbwY6uDab9JnDFesnXrcHeRsuDiwmyd1L569sL3NS+vaGMbo6AuCGY1yL0v9Dh9OFFO2
TrxXt5WYIutZcqwkUieX8ZO0s3eyWVA/CXONyuUuaYuLqCVrrXeoM4dx3Zjt02RUNzhs4sFRupex
IS8zNyYBzpoO+Rg/VKn/bI20AFmHD7ZgxtBJp9iYrfUMq7T3GwJ3Yj3KtzkuZgetMjYFIP2qzMkp
YU5lYtJbsjtKK9PF7WjEJscI0qlQlKaTZcbLRDja2jSiAPO87058V1+hi++JW45i33U51OQU7xKC
2hmQMj6l0/HjAcqMdJ2eZx6dSZ5c5PmpIc7Gt27/+UV+1PN/exHHsND5CYOj5I8vkgRjLaCsorM+
obA46RpSauuuHe7++WU4if79s7iOZVuKTtA/sILvRrQByAOnAJ3C3XwfintNXPz27yf6ycBxnBAm
w/75u2poeBS4P6bnfOBG23kBdpx/nr5/cS1+8f5dxgJ8Q3xRaEB/6jiBFJBtbFfZ2ePcYV/Z/vGf
f/9PlM/Xa/3d9/PTtbachHEnS+mZrD8Ne0NjU7srK1qMbzgy//ZLuRy7dcuzkBBht/PjFcegUp9p
NCVnPd6R4NfqizJjcLxkG9bKr6Orz+P/k2/FL7429ba/o4nUx/rhsqhb/LvLjlQxw5YmTc+lWDK8
szl3tZhMr6d+8/sf6vvr/9OHyt3YLzrv6wuR/5EzLgg37CNqKy7/l3vtF88ldByGQnjVe8I0aXN+
/6EE1uMFGy86RcKt09d+XNvB53/+OL+63b57iZ9vt7mxqZVsPT/n3mscPFva/+F2Rm2G+4BvEKb2
0bv57rogorRbC5utc8wKKPAJn/4Pixd+B7rDjI3HBn/aH78kQnio7x2jOM/u6+BedniT6+3/snb9
4qHhoWTqBa1mK2Dqx9fww4xZPFG255rCb1p6qMPsa0zdinJFstg/X5FfvBYqE4Y2aPVcg/7Tj6+F
ixhNNgxfETtRk6yjAlJ/7VaLghrr5uOl/tX2G9zmfy66q1cyJlDyc2i9RNL/3/91iHLZ/L3fqX7o
W7/T8P/glrUpXg3H/NtYQrDuO/QZv/Yu/5xKOMRN8A+Ke8dzPkYPf04lPjqeKjSQR8BFhflb815X
Pfd/LXbIkHz0mp6n++jlKH+tn24RIxAtnItrX4YzsuB70ydfiRDNKTNWYaghZ/Yw+otOjZdwNsAp
A2PDIb3WNZZGcrNJeorGNlq2rh4Q5enh37TPinpeTW4vVF5XwwyhaYILbNsJjQU0nJPrIkseyyG7
cYzwZRxMQB8hLieHU6OV2zhruCMnuir8VLh46Jl6blJ44Vwx6RrGs90WSwucc01KwkE0t6ERPDGi
LMNDocdkJ6chaeQPHEQbtBXdvCXfkCzyFfZfo7MsENzkJ0ubnN1EQzVSnVVcl4c1eWGYqau+K761
L1J1YlsnC5ZGmW8aZOjk4sS7KtZ2ZJG1i5FGLiepmDEtvd3Zyu4jmr3miQf7VNAAHlUn2Fc94SAN
7gyaxBnOXT5N43i+NmghD33z6NBStki59k//PohfhRdsaf/5QTy+Jm+/eA75mW/PoVL9UWYxmlfL
L77j380dxB8MEHigBNIH1L/81bfxIGblakv4E7zhF34bD3p/oF2jajMIhBGkCvu/g9eQ7vnzk6jW
AJ5GT2fWojMH+XGxRsrLIKrK7XPSpwB/km7A7TgSCrfjlJpsB4zWOZBaclnh8CAx9t9bNdYhdqfZ
uySgKZpNJoj1oCMMjiF0NmNH2pil2D8BBOgpGnBQXGAi8wtNkYIfhtdjSiRkJtHftsnGnz1siHta
DMwoVsEHdOggecrH4QBZudE8TkhMI7ubtm9Qwo7OSzr6+aKJQ39NGtQ21YvdjOXFYEqEfuSi6A4m
5I0JIpRn9a6djUu/8d/coLuOhHcGFNijuLyNPCwViuZJk155yANAvdDf16EV7Q1/eEpbufS0ECNA
+55EvHFBkQOvk4gSUYJ8ZkPfC69cx3rwLPz0tQsFR/e+Iqyv7YdtE0a8ZwswQ+B1UtelC6riHyoV
OZHUJgal6WUFHUz0hDxVmfVah+0ZvPS95YsmR75YzgWwwxSUF5mbuFj8tTuS1ugJ0YkgqXXhk2Wx
TpRJYUm/SbgTIXPak1eH19NgMddp430nKSUqt5lZBVgGPVBI5i3OMh6KHUKQ54ShLHKHYmmLet7Q
mZuXsgw/N8AQS07t9io3pq2jRRcpku8tIRqXHEzN1dCm4Sqq64cyCK21qN87Z9J3TuL4a7TM6MMZ
51AYvGsjTRHqXnCoDjojwpEDad6dV3vaUfPTXWLX16lsdn5fE0fSA6y0pbu0JfjIqMvpZaKV5Unr
i4tIZE0YoL/E7eLZqssLW1q0JObrClMLNM7PA0dsuNrw3c2saVMMib8um5jD7bRLwMEWtWU0DK6H
NwjRgo6vjVy6lJvY7D5PYY18xRYbt0+YVxj8fVyXADnkiX6iaW0ekQEh386U9WmL1VO6GpQhKp/f
2WFvjUtqYEc4pvZY/yIr9FzaGPTcuFKmi4FLRUzRAm6FGxSX1gWZZSsyaqMNeVzRhC6RHiHbSLib
ev088zBcT17sbgnHpImJVobeqXkhRCxAZNEdVvzMHJXaGft4sXBHvaAb1+M2a1ciWSQGKI8lonGP
mw0e+yCnF543zoz57WFNZD39qnCQC73vNwO59h6TiaonW5VF6iQ62gIuilrMjOWqSePLyiFZzjQe
UVNNt7WhJc+5Qd6PWWWIY+htG0Fdrr2WG7J2REI6OJ0Wi0HjmNMUEWijFh5uX9vM9LWVm+uoNIeu
v8wsaz3Kwl/QuzpBIqHixYenQ9G/6MgowN6p+VR32JcLLDCRa+5zpxNgct6FRoDWhSFJBiiUQJXw
9vrFRMawsHMMPzpJgKylNso8dNNVRGYTHcQ0W87w1p8rw3yKsywgmoX/d6gHb5vPI6tSktrbIsNL
vdFiHYlAVSwMU13fACPz2Qrwywu3JNddRjxRy2HuLmJgonDgU8P4bgxZHIxJbKMsaNeFz0wwnmuU
Rb63HEMXDIRWqmjnlHw3IovicNpkeUbgXASaFDO5Kjz7gFMh/bqS/FI7edZ7ED2tucU3vl+QyIWB
11DTjU1OTVfLzUTSFNOWehuU5c7pmncpAjII2DxWpZbywOKfY568MbvLmjg9+mGP237UwDJE/jor
6NnLSt+hBHuk9NkMVnnoAu9tLEwGfkV20SY0iqQxbjl/fz2B/Fuqq2n9f64QbguUxhw5v5bv+y//
/V9fNQ3qp36oESjWqYhtzCqUGOhPbYL4w2aH8ByTKhlKl0LgW43gQQaYFsYXrqFC29Qv/KtG0F0B
lWsxZsOi5PfEmZanDod/VevwB7rlu1QqaJLwxnDNn6p1Jk5pmTCIPpuCgffGJqZwCRfcfa7jbt1b
ybjQsyDZaQGBTbHhPwQtz35QA7JylvjUZumtmw0+RbW56lqaKEEZfeo0fd/01REfW7msbfQ0OCOt
AgersUQYL1iyyS2pF80hq6o9i9RSzNFZoEKkw35qkokM68ZfdoRFLPsJWs9tvF0eEcUzsNgImMTB
QYCnzVeJ0xGtHA03pmiffYTPSzvJrxEOGRx+tTstJCYs6ONmAS28kYFDrOJTGk0vg1S+QXZ809S0
4Gss2IzMPmQ6ozOGxNupKMyTXlrnMJqthW5Yh9kuAQu6g9cEX0p/OESm82JOTnJtjSTsyjw4Dfg4
LUAUnpFDrxtkW6/gBgrm9VZzUz/guf5FunHIWiCqJa2g+9HVvnT0N5YFmGmSeKcplci0+AyBnpyi
uXxt4qLZ9AFJ3LgmZxjeVPY2J5g6GBEs1F52P5XBuemGF4xxSNxy2c68attamKz5eIQsyAPdeI3c
VgEVoMm6bQ/zrhsMHUdS/yF2SPYebBx0yLlsPQyCvfg6z3Rr2efj0Wvm49B4+ppA7qcotMWyN8mU
q/zkoWrYC5OkfbJnptVORWpzk70XXn2i3JTHMIFwCK1wlTNWGJquXSLl3TWBD0ZRyTszrdFcEd7k
ueTgDE5XrhFUfcmleyuDadupRYpsrotJLVsE/r6NrGMz65nDusaf7XK10Fm9hwOGWvzCuL3KP5ZD
1kWsMdQi6TNkctSyGaoF1GUlzYxqF7OyOj1pOa1abPkfT0ZXrcsCuEtXC3LPymywQses1NZkbJkk
g4uzhjdqMW+LwlrlrO+dWugrVnxLLf1zgH2s2gwstS0k7A/lx0ahtgyTvcNkD0nQ+KY+8oKE3cVK
hotYbTdhjeCW/UdnH2qZ5ZLnzXjycyeL+jHMW8GI3s8IYSly98Ys2WzR9tWZdq2XfnXTTDJLt8YY
bVqhQ+5xrO3M4D2RDOFsX1+GBbMSvXIv3Hx8aJz6U5tQppUFvJtkChYm10SL7z0mn0u0S6tydJex
cAlETvV649ntpSFSiw9XAk8wnBRjjNRltNYkbw+gte68pKTPlmWUrVoCZ4UzoUsxIQPHFy9gYOtP
91xoioQYC8tIO+ZVuA0TbZ9TgtHjxfAPnQC5x3E2MXfLmeV4pA1Z84VgMGdU9Sq00eyZ2Fv2GaWH
iOKjGxHa0yZk1I7udvAZ7ZYZF+ShVTqosVMjUuq0bh9pAUR97q6mrMFqzn/KcOuE4AmPvVIuoyL2
N2PmdIs5waq/0i9F639uBmhAZAXT6JbrxPJXopxOgOX7oSZZNTP1+mAOA9fWxq8OE5+m/oy84Qx/
smpi606PJL50E6kjiUuhYudrK+Ep1MllqUbDVyjprd0FbxU59gu/z/atL71l4/Y7XHrGpVbZO0tk
V+ir+0NIYRZHTKS9qF+GVnca3PwwMncEyEypFL1n5oCLFl9+4B7Gp/qWECNCZvpH3Sz3AbFpWCK6
6yROWf/GHHMip7gRnd8uo7lGHIKNqIx3KQtgGfWXgTPf4duzqMz2OjC7C+xLyf1h5Db602qeiRd3
6rVAxlMUTU9eQz6zCouNb7cHPZ83HuMh5NgAJ6X+KQ0aEpPN7kVEWJYPpi32hiuvDDwNSimvjdk7
+t7UL2fG7LjLDBe6k4BoIzFJShmvMy3y90La9GPC8QrLnk2STlem770LkpbzrEQZ0a4bThgbeib5
cgConNryqnW9+zHqwmVm2yRVZTbOirGZPiUimFay7N/jpjswiX1Iu3wft8Ux9FFWYMh4Q6Dhyozq
d1tO664zystwHDEbne8Tw5wXWNw/sAKvm9y+rrWgQO7iP2tO/ThW42HIQvTxXeZC9XjL1ggPJkPp
cFQGSPJApcwybk37oEKRrrK4UPqQLpU89Kk2AP5oubHR5nZYegwJUx0E1MYNhxbWDBoRfrF60a2m
vhhXTW28+vN8NupMrCkXkMabBsY0CPEDUb27uDKTuZWc2shluZzGHII1eixi86rIzBsrwU2+Lyym
AM1n2zPB+nySB6dz44z72WT9ql3so3M7vx8n7aEci7s0wqR1yMUKY1gopmk4I62dl9bs3c7U/sRE
xN113cYRUgY33llKcuKQewr+bzDsPHxXT/1icGL+OJejmUg/ktYKQkwElJyqqJG+HzI0FV6/ky9I
C7/NFk/2pr+qlgQ0Lv3Xuxu46YtoXSzbXXS0t8Mq3BWbkPPjLj6F24/38W+Ba/1jL/o2eqt/GX78
XTMa8a2OrtUge8Lmkf4pqwIo1aTZauDvzRT3rwLX/8NFAEjJ+dGgopX9V4FLfg9NDjrVNnXuR8X8
G1S/qT7QdwUudxAyXlV/MxrRGVL9bYYkwiw0i0g/0yajI5vNaDSMl0J+Ic5rJsuPA25+RCGE2Iyw
syNnNXoKpnt2yP3qqhKZqrxJyQNDHbrUVUBYk4RPeW1vK8hLkXtsCpxLG/eZPiEh3GSMzWSNtTaK
fMn8amHK7r4c8ztScYia8AFeKsQ9KyQCzwHpZbTqD/bE6keq2Yx20yDlzLS0apmRexayk/gqCC3B
cqzpcHyOyUhjz9gNKjTNStqrkRQ17PPvQcaPfkyGhQPJmJC3pg35Y1V3DwlZEAuLRLba1zYzCW34
rLqcyctt6SP0GXxUCBER7yLAV8ol4a2NKCa1ySNxz0IKRgpt03uLiVS4ajDpMiFj22P9SqRhgOmY
DgsTD9oO/SCsalQHu06btoU17s2P5DnnZii7G+rX+j4lmy5VIXUOZh64Tj3qFN2eirEr9fGExMde
DNLV1jZZdy1Q1HIk/c6ymr3jqx2KXLzJ+NKQkidJy5s8TGQnFaA3e5iHqEi9lPhg9A5vwoVD9W3j
/sPBbNDZojQr2LQqmm8aCOnTx2kXk9rn0S4oSfHrGr4zqYL9hq8hf0hRSfxrR9b1dUDC0ra1I3s8
tIVq0Vil3u4Lj2Z767JJGmZL7H1V6LVLcJFFPdg0lBSvaV8NbDe22a6cREcWNhIpi3DZLOoV2C2m
aeSqou72iRyoIFML8TkP6wpXZNpwuGMTOGAW/Nugr4a5+ewEHcGuSfVOmBZzkYBwoRzXS9eYeppy
yY07l9PBFe6lFppsSMikaV07uLWGT+loPefeSHk09qhY8T8m7C9aWZX9JS6bd3Ma3+a2nha9mz5I
x+JWEALPt5HQi8Y81LkWEb3UirVl91cjeXcr4Sc7K6yfvcRuNyROpEx+veepVfbeloOrmzt84Qik
ImGGkTun9bGDaLylHvvylErtUj6n/SqXmJmN8RcLizs7434hBRpW/ODk+TYuyutexCFxh+N9aeGg
7RRym4YBfhkcJKTuPAbkwWxt/sQzhkc5V9f4qC8nS2s4tzxD3eERN2kFBsruHK34VRxk3WSlIc0G
Xk0XmhZC0NUjlcDgkM0RVjd4K8l9EobquHE504qk2fXu+Ba5DlZf65tqSurP/+4rX0crbOT/uXFy
fG2at1+xV/zUt8YJQ04VcOQI82MX+CEXzvhDqD9G/u3QPmFe+a1xQtIAsxhEQhiKMQb92I2+NU7Y
chCd8xuZsDAKJVr2N/YVlZn0075iG7wx22aUg9iGuLkfK5O+80eN8eVwnhgauuuwD1gGOrUiyCki
NNRUx7pEivUU91SSRmcQeAYyFrX7co70xdg7pGs0ODYjORzNdl4nQ5kXuHfmwrE/j7i+YNqCX9S8
biX5H8Qi1/gvGdJ/93V08LdT02CxT+FnBatgmmfMNstC3cuwr+BNlSPNGVl5MuAfMBeGhYltJ0dj
nZmyntd0nsh7C7z/Ye9Md+s2ui59K98NMCjOJNBooA/PPOholqU/hGRJnOfiePX90H4dy05id4D+
+SJAYkM5OhNZtWvvtZ71xQeZqJtWJI6zQbJtmHepyoFybdOfxSJGpza3DLktlW7cDvrYxu+97gzr
IMZNugqCGOYvxhxBoMkQ7EmYTV8iouKWLrnpymIsx26lpIjkOozpCENZsEWmgGzHvvvSmRhapynT
N5KtFa1rFRgbcwzfrV4h6Tt33hkRGciHg2xll/ysVOJZytjWG4Je+0MYlM3BmbvRQcQuBxgnIPtT
YZZq2wntbZnUywy6yqIWClLLmbejjpHYwnpkgOP3+bPqzDbRqQj2Za2kl8YIFI7cJnfjlPlbYk/m
Rk91sojCztiANEDW2uQW8y6CoQ2zTS8JaEFV6BoQkjoNtXHVrxylYPTl6G8hLpctw2Iui47w3wwq
xaouAnJSLeWlJBJ+a00pUlu3cDZhXb/bve9vSo3Zkp1xvF72dTDynjR7UxRZs3dNES81JYyJIcfc
ERRWARKr86I2FksqZ3rldj9eoQWlGHaLbNW0oQkVNUPVWxvOom/Zm/Kp5mU6+qc05ygdVHGwqGuD
tl0PXoDcerTaZUedAuCb3HiruoLIDwYn6OWVHTHKmVAZkiYxQsvHwJquJ+GiPuxwfTTGUK4G1W4X
TQZpwR/yZKvSAwBlEWfb/y6bX5fNX/abj0XzP/8nD97St+avTWf1Q9NZxbdKycv8VkMYACj5e9MZ
IoALJ4CqmAwXIlK+r5268QfIR3CRdJWphefp859NZ+2LpZVl1dQYI5v/jlQzn9m+t5zn8bYjONgJ
guVc1nDx05kudujn9rkbXxBXO5nkl4Ubo3r4sJ/83cHR4Y385VkgeZFRw9mDcwafwceTY4XcHHeq
GV/IIo7SZeEI1HBuPTqEw2nJKtbJayoYCh7tgFDstgxJspvQPDO3vaZBeZVGzkYzw+jYC8HQWVVM
T3VaAh7USHgiCHe9lu3aLiSKCcJxqx7F1F81o3aqpoLMZv2MG3cvYrrZWUfhGYvKXdvz8uK35sjE
231VB6ItrCTjh5I+O3mL71SZtElzi4RNQIEuWW88nk6xi8uF6e6+V6Zs4/eDvZRKQxqpi957aCd2
jUTm8Mk0497HKLmxU1N/0jIFlDCA800kktBahRT96aoYsVcVhUpagJOQ/xm4pR+T1ZRLKGO6cwEN
ZmRG1LJsDZYThgupl7pzP2kVXrJKSze1MlnmRi16khXg5LLpViBPMjn6CzGYytmpNOXE76df8+Uk
gVK+UPKNw5hqSb++ZhPAolzbDhTl1Ej2LdZ855Lna/Qnun52c9DGoivYRvVrgCbmcBmqwG6qYHQP
bm3ZeyJJgkdocsYD0VZ0RdMRHJbMW2PnAGSocffNjW6HHdnyRN+4hJqDibHw+66UVszhWgOR6XSa
vSoIxl2nmR2Q0NZeST5zoqmn5rlBoTCM+JfGAfOYW0U7BezxCo0yQqK066+njmGhQAHnFqp7Da4A
gnVM3LkzuiAuygyMRGJgTFDxYkcP9Fm7I19dBycnwqckUSA1mLrxPw/R3pracAV6GDuMTFUvd33j
ogk7rYPg22yQkG97g35mOGjNFeBElR0mO+EKOHV1k6+zOroyCnPnhG3MjCXdEmyULANdXBJvdiNV
u7sjH8N5J5QHUUWytPrBei+ilpq7WSZ+pd4KBbiSJdeKViQkrKOgdxh1DvRdG6t8bRr5lkd4dOPx
Hr0SzM1u7w7ZmgWEYnzaGIM4jU7HoUBusbyjn+doU3cvwmzRPijrtFfZfxhYtONn8kzZtz77olWX
vZUSgmdDcE3M7tG0opd0wqRkNUmzZ+wdAMGejlqm0RLUThbBjH2bPJZ8fY0Espo79srvLKBQ9EHF
9Dj4zSrIfG1RiYqjbADxocnFLjZJYVUhLpu2fcl7vDZbsHVDNAWIHPzGMzoRnUJkx2A0tCuZwofs
K3kItIGLWaqbtBqwyPnsjU42HlxuIkHgoubWy8Fxjk6pH42heKCT5yWmfdNqwVVelUd4IoxL3COm
mavQRWKhMeTgsE+1BOV55OgcA3X22hq0dFCLi0RJnopEfQJvvSeC74CJYh+36tXUq8tUIxEoTU+m
EXtVWo0HHHXUYhQJTjh+rhJ7285B9zVdY7qXWAP7vVNM466a8nwvneI1GyEiKWGeEm+d5ktz0JNN
5ZYbH8X/9TQq1frXK+/fcBRVh3Hfl7wvGkP898eVNxzVrBmtNLooqkRbdamLQrQbk2WWdelRZgCU
7M5fB0WYUTVNb2pZNVdVlYhbZ3LSRTEM120dH8XgLxPXfhCD3FSh9Y43L4CTTdpQEBOmjixlXUxc
06kfeYWPpLqnIIULDPXFduS2K4qX2p5aL4qbew2246pTiVwhOL2Ale31ldcMO7WkFSL9fKPG6FeN
7jLVik2T2a+YKW8Iv9q3fnKYmnRftQTilgVjMc3dyH4sls0YbbUhNL2mww8Lem0dGvEGsbK9bERz
bYyt6pWhtRehy30Nu4AgLJVAnHq4I63PIMCSgYw2Ytck586rLAuaY5ScunK6CJt4l/TmxsThy0SG
uPUvPHennn1twRo8yMoMymMaEEdp5xD4cY2mbbZlXwPRXhYT+1qzLuL6zBDgmogTtBvQjpcWJ3na
1RR7dX2JkatbZhNKq7qO7wj/wx88RM+usA9Rx8U0cIE6KIeSpHpNKrFRywzWjUqvCauVbnmci7c9
65DeFK+Fax9FJWhEuMqrr1rTotSqhUXKPS7CTMWiNK9l8hjZ1idNpKDfaVo4aE7GTFM9OjEJ7J/g
rE+mimQdsxIRAc5Wy+L2nlRKpq1RVZ9SKtndry/Vn1uDs/4fUh5T71nCzhz8xwsVNUcP6yeLLvx2
bhHsa61d/PoZKJk+FCH8SsgCGEocCCKz+nZmi3wsQnQLbKhDaMNFSltEsc5RG22j8pr0CK6E1Ius
au3Gq18/JwfQ3zzr/L4/yNrbMpGloSvKSYz5DcRTVH78gV3xE6e7cQ7ZjD3pmA+Wr+8w4SU0hjCD
pnkPn09D0p3X06dCsY+RNIQHpI3pZa++OCG+8kzEdwQ/9ssgod2UGo+Wnwx7NUUxwNWUF6t2svOV
UyrVUsUe6Nn5OO7awdZfijyWayIHdAys0eeUa3VVCStcsgKPS4lRw+NIfdMacwqrktwh+dF2WUCk
3ihfGcBu2ZRu4fCtraZvFpoZb3URKij0qFBw/TG0n1rhVZmF+KY3OUJFw7UW5jSeGKNVemAtTJf8
q6Z7r5oeN1MZ7WpD2aKnux2m+MEQyd6UBUqzOW078nW4RDLKuYiJEJhipn/VMh99+nGpIGjLT1hl
xUMnoB5EcXZywmGT1/2q8yeuYLFKZMDAnrN1ETPDLafYWdapf8L7TsaBTXIBIxUnGG5CUM2LAalC
K4kG0HUpvMmWOOkjMLBt8WzNmAKRXVXAWcAK0WdWQdJ1RDyY2KlRZQFrVu/yEZq1PxCUULcXJZaX
ZVyaO851b04lWkyEpPGZxiYojaONS/s3l9vvrvG5EP9wtfUGJYZG8PspPuaXwYWyJof0vt9MO0Jr
jxisQ+8zrUDUXaf8qf/dfOhHieu3G2yeMGBKALUzv7gPTw6dxckTx1BO5dJc5EfNK9c4BNWD8mCv
xUrcnRXv+NCtkIB0z/wrvRiPYrGP1v7FPNf9zav58WDz9cXoDBkwRlkco8yf3FGj6BEHqnF4EYrL
Uk8XkXiou69H33+0Ev24Zv31OWY9z4c3PNUZSRBhGrK5vgX11h2vfv11/u17AH6CT4A+Gi2uH39/
NpCcK6KKzVu5rGi11iY159cV6r/TNI1v65+7nsBs/obkNz/mz56n/QdOKhu0q2Z8Idl8OLe7fzAD
pXPJ4dsSX9qR38ViNt8TgvLv/L9vPc8Z8sfl6IKocrH6/rtzO9J1vvyPJ3dqOQelmqrhLmEo+7P7
p5lYq1uztS4gcGCnp31bIj90wspYKgN4MtJ8/Za9XkHSky4d6dvFaRRZ067aCEt0KE2Rnpw2EjAP
tIDnCLyGxp+xQlRhkBIAtEUjv2XqTTIGehm3wUPfZgo+JhGQF4rGSXHLXWPU5Pi5nWkNqHFsogbx
DAZr2yRhr4V1q4mWOsfQtzK3SaNpOmKWOqqTOkJx2QZKs/ZbcRvn2qnOLQ7E4Ev8UVznY1QvVBU+
AiFDh7LIDnnlH7Hq3o/sFpzCC39RltmmLXdpFvjIKGiNRlYceRBQ6TsOGKIjBx1w62NO7obpIbPd
S1UwWZwTjJW2YTzCSGHBzVcu+8zZk/bwqg1yWEZt90kOpk76TwqMW5hLcvkuUVuM697C42u1xA74
XSVxhU/DMpFWumRvh1dHFxUlrrbitDUuOTNUGLO7V8UYDqkSBRwxfIigvvo6wNPnlN6s6UNsI5MY
SXDYx9jRSm9We9OSgP5V9cemTVqvizqwG4V+oxhMPexWW/uJj68+yygd/XJnoPFaDEZxEWvFNS1P
z7fLQ8SWFpI3h+wMA5oNs65NX4yRwKc67JbIlBZdmmCmIV4bivbe8LNVXTrWYnaULjQ5xIs6LZK1
M9rKWtHliTx1FQXIfBLgZKwGwUObU7eQMRBt9BFzI7HeTD8pig20LWol911LHlEl6oegQME7JeZh
HNUbGQwrKIEdJ1qIYHl8HRDWFJn6MrGjmWM6RSvfHFMmV+iR6sQPPTG4l8Is7JVT6W9FqjZbtcT8
Y+bFhanCFg+JZMz15M42rfssrpAaVmclLEtiFeipGqkLRCSN13Ga3feE+Mw9n1bojwIu09KOzU3X
pzdDYu7yoAJH4YOoCR0OEmMTd1zoWnjglIPq353oqff9Q45ocxlr8mHw+3vVaEj9AudOD3+Th+45
bkwiJ52FYcqXAU4r3aO+J7g3ATiSqLS9IOvosr2BbJAA21Gx6I/BLmiMYFtJZl4WMapO8AQUMeIA
gr3DJWUIRT7gBEO0d10kLGDztG4KK9wrSrEXtvucTzA0RFBpnlaoNxS/sGmM27IRG0WHSQt9YTFE
+s3sgF46JB4jIGPoFxonSEOKB05uPUTpAw4K7Obq+JwF07DFsLBtOyJ0ldBxvZyAMcAFabGWMieC
C5XlOLeT0mFyDq4YHeI5BE75qZ5pmusM+/7a11Ls6EhmF5YCS6YZz6pqvNVEB2JPrC5K274rkOzv
kdKQuKwOb0nkXsPCshcWjH+YtUw8m2l87zuQ8F3HYdkPNMOjhekg8Z67ATYVsp+2NxS9XDo0OJHl
E8JUlNEIWqAwPaMIt4jwnq1Q5oD783xFNNmpNauTqhhv4Kx1OLxMNOoETrAp7TWb7XvdGwfAz1uk
ro+5HWgrK6x2tk5/qhzUg0CStXYGpVtqrXVtDJqxCxiILMBu0uTQ4pNK1wCE5Aagy4GG61VcA/RP
410oqxs/rN7lgOU47+vjWPhnSylvS4fkGn0cq4UIA4ueGuteHRXcuSmRA0Xbb+KkeMgL9HB273LP
NgSN+SjVezooXtT1924jW2YEzFS6vOSXR8njoEud23GAH9qKecJQeO6g0Usawwetf+trAtwxDkWr
fDQOoZU9DiOfqOq2N2kvNXo5xf0X0bzeKPeaYb6FgTQXY2KLBYbznWiKz65mPE21eO9ULoYyt25L
CC4Lyk99aaYSUh98o3WV2ZddnEBJ8FUA/L1CW7W7MJXkmrdKCyk8T5gU1qYxV+Kdoi2m1D7a9OaX
oSN2AF0jdMfOsDN680Yr/U+hzfG9TqO3jEBQUseYZ6v9lM/RqHd6zlHbsodpMR8jQcZ+KQ7+WyWp
FPG/qJKeX9/+TnM0P+rPOsn9gzJ7Njtrpjub3L7XSciRTPAKBmoxPOmaxY++1Uk2miPInNS1+NVn
Duf3+Yb1hz0b7hweoCM0+3fGO8P6UVSP5sgxHJt4eHT6hK8684v4WKQT9Dg2mlSDs+9mNP3ZN2VD
6EQ61qhN04cyQZU5oIqYonE/50Ft8gxhRNFuhaq+GUrHLu6anB97skPs9DAQILKY3JgQ9I4ZsqJc
zada0ndgADlZei9cqg4/ct0VSonPaku4jnTaC9kGXqd2j1aavavcEyZKlUUUhE+Wmy4VWqz3NDzE
NqfHFWS979k+6Uu87GLdttT/EQVXoGqPbWrnyypiftzoBlNJxTIIgfLfu755AwBqwboV1sopYuJF
6uimSMKrIcifJ9HfK2OF3tUKOq8w6XsnBOeZlmIu21mFUboh661dvDhm/Dm0a4ASLN11z1tsa0IK
m1K9VFK2vjQ4FeV0iIsIu2ttCuYK2iU5jZci14HdR6mk6JGDl9KD2VhGiZS76T/7TYzAQ22jRRI6
DCpRFMPCi2+7brzExhsudCEr3hL3PxHuN03m06BUr9g+a7ZuI1sq7nQIU3cfyoFqMBQshmGzMGS3
C9Qypo+N6htxGMt/a1KyIHCZI++muyYpEBYXJkWvtCGmlFLfQ3CN124yvDJEH/dBF6qeyAVWrCx2
NnrvKKsy0I9Wpe4qwylxAvn+1ajkpKVX0l2PAT0HN83cBUw+y8vbPLwqLGVTzOHfkU2rr3oaAZlu
mkCfNQMhy25gR3RLjbWNIRj0KrN7K0cDFVQknts5qIMg+yxBB3jqDJaHDp2t0pwWwpD5T+xzOyuo
y1OUlOOSXzouwVqv44gsRiTKq8hX5arLrWavadU17XFE9jg3l/FgckG2WL8FwL5trVFUgpD/3NZC
X5RNSyglYqFFnOSzu6Owt1GsUfKMzglvn7t0BuutLjvYaSRW5T2GE4Iz4Z8Z8bAMuihdlwHTO1Wx
bvJQf+pscDQRneZF49jpVpIO5jVBf6OMfrPz6Y3bBpjAPsNFjj0Vy17bcRm7NiprvJLENhpbJTMf
3Vh7oSe8sRWUe9rQnBTOG3zOFLFGny+nsHoZXagKdm9X9jJvXOuKelQae3Vi8kgbc97Thnl30/u3
lM1uQLa/1hKnYMTETjiyJY7z3mj32WM/75a+g7AW7GBLU2a8H+Y91Zp31yFS4H+z3xbzzot+/MGZ
9+KeTZnKByvivE+r845NRQDbct7FgfTdTmzrtVUe23mfb4v8PWLj1/Rwl2vOoXNIzqEwmCgQNAqF
UAlPYq4cgEUG1KoMzbLauBaF1ZE+R6WBXv3gzLUHLfNd8aUaSXjhbrBFI39ARvFuUbZg0pmXJmNV
+Nm4L5TxWZtbYQgbTRTvkoPQ2Fn7aJJULsHgtxAapXyg4O2K9RCWRMOFSl3c6H3b3NPw75nfaGVC
SdV09Rb5uPkUJIW5l02ZBpcpaCVnJyvFePIDS/NPsYl7OXMTuWxd/0FlfrMyB1RvxO2kFPMGsuQi
6VZ9jMC557pbmSWjEa7Cx9ZotxMhS0iyoXOhDyT0Ac9cT1jEgjzeKwep9ZDjWSFRekZXZZepFdCM
JLxqlZURy1OSaqs2iN+D2r6qoX1uld4k6qwh+WBEn2/PolBXMnXp7isTFih38cbxIRLPgYCVAK9p
RIc2GU2vLMUzDg6K07wHa59dq72aelL6zbbi8Ma15p/HRGjeKJOEWiYmMRBNTbLLC47YjZ4/20UX
rnQNeo1tRccoiV80p2c1GDgJaOu8GmeEprkhK5X7MEUGYyvJrRiOOdPVLNk6+F3zaUNPeqN0zhm0
WLTuxvjd0kMStSVjB/JC7DRaqbS1FqoDmxxRI9bUrL/JJh3Qoc/qV2dZwHGoRCKKynMRaxG8ZpjO
IwgfvROql/WoQzSruo5iE41SbR/9srosGkHKSQ/CwcXoW4XahRFyVDEDZW3WdeO5dn6fWMB3supC
sfzcK9D8xU73Oe6tcNMP6aFHrs4xWx78cnowKwflSnQeTeSkmrT2pU+oYRuX5DiKXdk4T2geODgK
0pQshUSOFgN7DgbeM5lF5GO6RIZ+wwGOM7hmvFkdsaf9xGKrO/IQY01Y4NTmsDoO69qq94Z0OFxH
Iabf2t5BGWZ9xiKedJh8lOgm9bPnqrV3GtqZRI7HrlDuE52vWjhIgNpCstx060wN3mLX3Zp9sSsU
fuqXzjtY3deyUQ+Z9l8N+3/slvP841f1ZB1xPH/+q2JmftyHilKng2YjJwStYgn6yH/aNAWCdEKf
vtg3UaV/LChhnIDGpNz7kpRBmfe98UYZCZoF5Ql4obkM/RdiQ31W5fzUeDNchklUvDrqHU39qbMc
10qi2ZMWnjOBb5kcbmk+DaoInZ1Z53lwWbAK7ae2sp6s0OhpCys5Zv1+UPrHerKbewx5xY3rRibG
Lb3ti7We2/Kh0VuVtZkCjyNnjFU8Uu4R+CL8CIiOSTUtAQBqXTrkG7SBem476zZIx+c+mJ41nGBw
766txslWpCJstDSLztpITaQm1mro/GWr1HvmG/BDG4zwQd2RiirG56SqGcj0OPMZlzcMNHAxkVGc
ErHtrEkxHhbK3LYzW3dnBHW96Hp/W2acfDvzOgODukx05rP+cEEPAoZipz5XeXVT6tpT6MRgOH3o
ijSKWsyY07RxIjfzUJMwozXM69iyj53TfNIy4u6sPD1mdXFoQw7zla85S6PBRGPUASb/HldPOSXX
XVUSfT6VJ70mPmfKWQjrmbVQZ2PD2XO256d0TqSOpGTIg/SIYxgDQPlJtzilNqooyfes37CAjpjh
h5QA5nabNvFGkJCusoPRlYjZJFzPMIiN4ICyZnnASQTSmBelEqzcOeY2yvmT0Q14ddziPg+TV5aq
KwcVuVOmn9UkvLUK/KdSxsbRxyIKRuAqKim+O9Mm5iqjdRkQVRHMGJkiNa5Dy7oFg0gVa9qvWAwP
JNdel6OD2EE47Aq5bS+oxGKCsYZDHqmeFD0chyLfpJGChmHGbUv0/XAFMJI2zJbR/6/ZzVZWCeLQ
tHpPwTm6CIWzNiq7u2jnQtkeG0cuamMnEyu7RxQzLOukvZo63P2mHl7k2Aqgp3IYj8f2rh7jF78D
XmuFdbvA3bG2a+cBU/Qn2w88DWMUbVj6svPLEN01joV15U/nFL8sB4S1619ysRYXRtceUze5BBj9
FFnUZnlCY7EeIGvCCZY7gW5eWlx2qhkfC61YOtAF0NA6Dwp95YU0SeNS44GM0zpaA3+8MMvsrLv1
wXCty66hTsQrwOjbNmhbVk+GomBe1O4ymQaI1gmY6qzzODPIYR0cFBfhQ1ex/frNrRPbL5YynGqr
fdP87LaRNoY5OO9dou5EaEMMSl3aRAXfAxrK11TtucUmBKTOkMIEyK0zbx5keR9+qshBX6giO2u+
esmwb41T90VRfI9gLwLOQ1yxGQ5D2RYO2154sDOZP4SWW3MoBe4Iwzo9KGlbeuZMCveFZXl2lj2j
SE1WckyvVCDMqVJAkmNwywTZ2LrOdExzeWpV4uRa47G3smepq3s8NTCUaUNhMUh9dxcCY28IATN0
Y6uXoF/R6dMRs4wFSeb5eqTPZ2hzjo4KYsUM9y6k6EOk1vlVMyR+sx86dZa15B02TH1aurhttmrs
PLQZUWhBkamUVWg81lUq5IbjADqGvABKPxja5TAaBJdH6kXIjeXxnZvnHLQs1j6SMqhjh4epInKX
KN70EBu0ZiUfwapPlXSrYpOj3U8UNjYeP6DTZclwKxUd7TJz5RRls8DDF/vJf9s+X6kIs7fvn7fp
i+fy77ZoHvNti4a2NIv6UK7aGpvhjNL7c4smCZZBFyIBVdhfIQvfmj6QFCzIe7DJXcRI1uwV+LZH
O38gDXX5iU6IC42af2UIgOr08x49R0lohmpBe9Ro/s6T1Q+TWSgCGQ4ZbTqXZcP0HrLqonaRu5fm
eKfG1cYPnc9Gr1ZLv2xfROuzGg3wWgbj0Jh+SrdeuXO7ainM8WROJWkKknOknxLbHERni+Pv6DuX
Ig1UDyq5tqp6sUkG99Tr5rHIio0TuNs21s74zIyFg7fAqwP4TNLqbyyTbCTuzTfFypHLu+RXdUZw
si00BwpC9IVTkY9HTTEvvptMj3bC7Ama1px7AESX8I7PpitJIazzzj3qXUplPm78gWJ5NN2rNA5u
Aqi4JOQy7TApJIK0EMtRGm99EcSnaWrL51zyPKPZbSalBvhAa0qxoB4riVhjSoB0D80NBnwkpKcF
5b4VZEBqJfm6rWa7yySsvCg1126VvgSIdWbCHBtUs2mrOkq8AunVAI9tbQvUlz05fHPnPZCuRzDf
sjZSdYem9KCLNNoj5N37RFygbiIQ109o/yTo8NzeuqnUyFqPTi09AjN4F25tnJ3U2uU9B/liwnNu
Nia2edu9sBKdKOtceo30n5rAuY2Jn8d7rm+N0X/DMYJd2xhIfbWyZUOSxUIrqBoUw9gWoQ+PIsnE
LREQDZwfcwe6elgaQXnNOrQdaC16oTmb5Kem8oqo8XeENghW99kiHLvrCAryagqjEQARswQzSD7X
KlzqrlI7TyqTdu1WqoO5MVmFJoce2pHhUpGqWHf9jPJKZ6pXwplqZ82kr8ARvdcrTrIDdrAcZh5Y
h7J8AZI33sjCTKtt3QSFf+PQp9qT8PsaKAVwID9x99NMckDlv6tBOzQC84kA9mAopfTAXq6asDVX
nYPDsMuLQw4igkix92IgotMAHiGG7lM50yQYwt23M18iYibtdSAn2FgF8cfTsQVGkc1Uiho8Bdnf
tBJxgknAFQyhuCWUezkTLYje2sYajAsrMM420IsW+IUZMY5svvAwkmbDpPiYzqQM4conosPPnUju
3JmlkVExBRp0DeInGIOqVbSqZ/ZGFOYI4pJTGMAJnOkcBN2dcnAdcuZ29AA8Ij+6o/tReYEShJx9
xaselfcd0A+F4oNSEQ5IBxBEUZXHbiaE9NI56TMzhHjW5MpKjCf8FodGtV/tqTlAHL+YwI0EM3ek
KUxSTSGR5HUGBQ02SWlbB32oIY5BLVG08LoLsPEnAE00+zZRVsboHEpIJ+6MPPFn+EmOtCjqqGpl
kl7Bl1AY2NWPpSIphUGnQPC/DE2f7EeoKnpPBxTKiqJY26npSXefASxiRrEwrlqksFlASO1gaZ0j
QEWtwbc+Q1y6GeeSZNOTOwNeMHp6sAmqmfqSzvwXCQim7acdqacvmjmrD1WVGgtmTBnFNzI1X9yZ
JtMOWIHyyr4PFBp/6sycqQtMe3ooV1nFWggULcV8m9NUvPjvoOWLm0T/5Y5785z/z7p+zj9Hzee/
0aXMD/6w9WIVQRGEbQM+6E8QI/bcb048dbbpfdt67T9c3CIGINA/H/Vt68WfghObwGJim/61LuVH
SdTMCHBsaEgm//BLcbX+uPGaKPKc2K+n8yQfKscnLFd+rcn+UXT149aOkIvfKiAkUUm4Gk8xv4IP
WzuLhVUOpa6em0HBS7Y202jRmK/dvxR3/eV5fiohCgUtdB2Z6tnEwazWx95+/VBTXX6V6nxkqWvz
b/iu4PnrO/lJ8hqoVa7NNMOzNmD3MO5s9531C0Pw2W07eonoPbvHEsJJdCk5NKrRWxySBXCpFVcy
Z5efw+QPlhmw/OfQstHf3IDCWA6cZn/9Sn9qefz1lXJhffzMdTgusq/nz0Jf+fjdqvKhRWqNkfHc
49rnYEKT+d1mhFvxR8eKfqNr/ELH/PmjUlXs1IKvf7Z5/vgCEFeqEpLKeCYXmROw6tbpMaHUlPAT
jar0XCotEnccdDxDQ7+iv1bT3sK+SYuxE8rk1WaFibvkcMrcRex7V+JbTDO6D/q+90WD7EWJ1btB
z+KNnriIOHyOx3kcE2RT78qW0KWuWqtyXHZy3ITTubOiFS7CRVEpC4QbG3IJLjPtEuQ+iqZPjc95
CI1swA4jUzrV1rLD8qTRXQQx5tkTZ5a4xG1xi2ClWloAhSbgTdGoei0xN7bIVn25HatPTUzEkELC
cp8fVGlcxfEpHrJNB+/7jqjVRalPOjy8W2lYSw5Ni7ijjjWjwIDUXjFocTLmAkn6KBmkZNmE4cf0
cXkExm9g8V/QDd+/ob/c+MZPtwuRoU0sh2Y6i42+9XfTUT7oGwJlzqS3Hskr9eoVMzlvXOvevt5n
62I5PCo7WH0bsbFODLS+gnL/cZmYb57vr+evl+xPam8DB5edzZdskeyKhLDlZU2pt67Eb5aj+dL/
1fP8tOA5UTalYcjzKMyUb4fXKsAE6oENsPzf3ARfGos/P9XHm2CedH9Y+VxeV627kXYOdS++JNyo
HThXLPpmBbIzOPe/e2s/ruVfP0LEjAzvHXItTfenrzSzssG2EYefe0qYfHrplMtfryt/twB+fIKf
PjuREyHZBZp2xv7QmvRIFYwg/znD/+OF8Lsn+WmVdQfXYqrJk7jdYar20rqFF/fr9/F3W9LH9/HT
8jiyV9d1ZmpnxKQUpz2m4msslaCTvl5s/79lKKfoc100xbv8X/Nv/lyUY42UQP7vH//afP07qQkz
9/yHv6y+MNCv2rd6vH5r2pSHfv285//z//WH/0Ex3o4lJPXn1yzKl1Ej6+iz5Nz/M6ZR52L+54bE
ddS9kezz+vb3D/xWGqnGHzN1H1ijQBk7Twe+NSVmE65NUwKDDdUYsrPvlZHxByq5edZAswA1yken
rf6HgWDXAbKPWQ6R6r9qSny5Xb7fvvQ0dNoisxTdtSxNx/H74+0bajlugVZH6VpU8GqOSqqMMGtd
QzSZWJJTlLDva3pCZpkPCIr0mWmtopq0sevQLHNSkZ7bebvps0HZmWaun9r/y955bEeOZNn2V/oH
0Asw6CkAl3RBGRQTLJLBgNYaX/82mJWVTGYWuep1D3pQw1pZDHeHMLt27zn7wIbxBtHkFxnqlptJ
ZXrZAek75FFbvLZBO+xFNiQ3mjLQIy1iIhPb0XzzYaNsC83y13itFn9G1RZPIVuvjZ+foXdNaaHZ
6SYRyuDNaQ4coDfgDKvRfC0ag/XNDtFD5JOSMkUD3VMalTeKWDjY4okwDM3kMss6/1bEdnjdAUwN
b2RQfkGDbE+p5h1HVR8XompZTC7JCg8EH8je3EGiVTQF1+I0WMX0jHG5v6prxWJtKzDUekST9/LJ
MEiEzfSoiu+keNapR/rENN2RwWbtDLWKAEDvp+oJ+Zu603qgCDPyJA8roFOX095qSxwxuR56cl/b
+kVfqvUzlkADNz4pSpxJ5QbLY9XjA5uiXFU3k4INbAoNuh/FrF3PStObW9FjkSrM+LWN03BfYuCZ
jzqpljurAhd3jc9EWU+1ns+qG/JgDsfMTqdc2ry/CP/bS8LmrVgiDZo/LwH/p1cEXt9/vSIsByYv
egv+7rDEH/5zRTD+W7YAefyjqbgUth+WBLa0xWwGznux3/+xJMCCpQcp6CHSRGD+yMb4+2FJgIll
lYChgVkND8C/NUtUyJj+WD28rwlssJaqcmiysWcv//3Dlh7FcdiEJNYdccdxjteTipfW7Qw9Idqc
wZdwlX42GWmQSikY8ufYq7vCh1eUBwcVwf1zEi7SHJoecvUUm6miXA5KQ8cy7qcSSVWf22eQ5vM+
ULs02lXtJG5xPUj6TmnkWnJsG3Jf5qv+PpkMGdVNksTKTWTaKaDVYE6bVzsPjOFYqyXukwXz0zOr
e0P/jgo5j7qU3oPVMUJbnnb7/cFvq6ndaaloJHAiYTKvfHnqnmYNGzsrTShfCJQi6GYqqpacsNtV
ONqUh1Xdrjp5ii70dmJw5s8lWFjbt5+7Bm01ZlJ/ALCtoWxP8rC7DIX+jJPuify519hAMQWMCHiV
ob+VbfYGpQqDZ59V2k+Mmy68AVdUwbDLZ1lft4nUPQ1GAAdFyFHkDgn+UMvGB0gyiHWvSBG5tsng
v46QHLeIO8QOjEt4YO6bbROlNk9m1cHsK8tqQ5e5cOuelSVL8tHVrRIPWY212u7RxoRN6RktdMmh
8bFgZBdWZ0OB92vzOOn6vEs09OjgB0gTgz4KVTNz6gBykwqc3C2aDlA4/vHSst8YL0obq5+3qWKf
VdaqzeQPcEqbDA68j1Ib5MeDFoKfSYYZKypUAMzwCG3Q4rWg10+JOrYuBr2R6Ipl1qeb+irGDHqm
uZvcMLJWr0Ed5G+xrFGeV1F+j+68JpO2+plz6PrNnfWfVUulvPx61doXz1UX/Q1wafnT39ctlLMs
ByiZlppFoT75Y90SCpkVBjsfU5R/qCN+b/JY/61S3SCcYPTyD/zf7+sW5iMLW977P/ZeGv1e0V3+
VqJQDP7LippB9Kdla2kW2dqS4q0xe6Gt9Odly7TkbBy1qT5PEoVB6QjMLnQMcyumjR3m50jjSBea
4cnQIaiDqLiC10WdEMjXqq9dJ3X3VsgsT+MY7uIezqqprMFsHhImg1JPsGZOokUOIFaYuPe18WXC
3S8zHXXULjtR/639wDw0obQuJukK3+adOeX3Ok+45Ve8KxbZrha99XyX4PMIJYkJY6judCv8QRYs
BDr5CoHYqSPOmeiB02hiS7KN8UAM9kavFYK2gzud5FGJX7RK6+HFjtqjb3NardUnNWARbNt97hsM
cuyLXqtOfhiebOC7NlqNICxPHYETaoFfdBT3pqZvQ+Jo7WlypKQ4x0qMoU9ZYbH1qmb2QrmHl91c
hmF3DIbJ7UEQaeRCEsh7qqEVJPavhoThVUZYJBG/3X62rWcYQfidtPs47ndSY3vQm1DVzxspjj2M
/I5R1kCp0EX4Y3RebK6JSdJzbNzpTbadp+Y6s9qXXIwnycpPFGOH3si2OtT9rJ62XcUsJCh/mXGJ
ywb7EaNjNdCuzRBJiSWV29YEgaulwzHpTMlRJlymfvKsFtq1XRpuGPm0qDvz3EntIRCZNwf9rsZZ
T7bqdWxj9Zf9H1o23ZF2sTJQNDgVGaV4lzUn9OWKYXd1hFo7rI2hIrAZAa5XRMaziQ5sU1YjOCjY
ssFY3gvBapsN4wsiB4z1dc0muPqN4uU3Vh1vKXjDHU7iOj5r80zwUEx8rLrp65zGPBN8rx+bHQGf
8qaowMlIVnmdFG25zw10MU1F+KmSKuqRIMze6yeFLvqI74UdUXhUe/G1UARFskzHqYV0miuE6cLm
XPGTZjdH8uKSkWI6cYkDq7XkGCvQoG3JGNfB5043kTZVHrrfEXwsvpm5a0uXdpCAvNjcMfnCumzQ
eIpTcRVZIFxmaF86SjpbEreS8F8hqcA40c6z0NdanZwAYQ8s/72rpf4bU4ujFbf3EhV8fKy7tl/x
/+3cCuigoxrBKsqKK1Fgi+ogGzC+a8nXINh4Dok4ikvtJcAA6MjY4lALV53XaPYJ6BTJtWACbQlj
b691mdv3zAsSYb0Fpf2UT+JO1403vj/6l0Ju3GmCDwK/OXDCDAc2ITXMYBNahn2pbMu09hACnvsw
2zOE+KGN06/OlAl+sPaYdzAmSSQsB+GPaCZjNUurE3tetYZcQSetk4xjkfo3hHoETAeTZiXCXvU6
DcnUoOQPCE65ylX2UyosxkzjsCT8Bvk6TsadL6WbGKG+a8/941wwdSId9RzJ5kvYo9fUejw4Y8Zz
axpb1eh1/jJlNEe5JCqxRuVDvr0qNn4hHlpyjBHdmww3GTkGXUMzMHqYApV/XNJeI78Cf27j5Ora
F6mrF9IMcAlf9qrcv1fR4LoTg8dZ4JfXgBarnSRcra0hYtflbTiomSfH04Rzifs++v6DusCi/dI3
eb7UNXPqihJu4BWNkolpHK8lkRtQ0FT1VyaLcdP7AUpvKO1RghFsyKodkdUG363fl1ZzHjN0zLj1
sS6ouyGUT2Hb/8hled8OADxSCepRJGFE61CqJqF8MwTthZ6Ht8pkosKIiVCvY3TX2qB6xigdIiZ9
HAuTO8J9yCfOStNLzRKTVhgm+boemiB0pQK1GvZJGatcH+40MlrCFAhHLlvSRp5RgE45Fs+8yZAn
d2KPvJm6s6EUUsb0KiroO//nBPU+ctI40nxRi7TPgD7JS2r+2lRZ/vJDKbJwHZHk4ccx/jxvUqgq
kHGAMFOXsxCnqz9KEXkx3XBOMvHxvP+nP0oRzkHm0myxDaI4/005pvpn5AEHNYtpEF8BosfS95E/
Nd8kS1KTekyLc8cUdz4yeIYzpmhyLFYtkRiXVNU9E/BURyxWXXaL8CMIh1UtstteSQsnU7JDJepH
9Gn7tMmvowxJA/glR439o6XrR6TN6CnMYROoBEXjhjmE8nCP5e+NXXska1w0g4s8+koPaNhkWuyE
tPc7P0w8tHmOmrbxse0kB4IXPAy1z5UXZg0wJ4cgXQ9IChGYwXeM9iIxWqa3uBPJvOltA51zqcYG
lHsZQILRlzszMrNNZdp7g+hx7Vb1W3PBKA9xhxYLT+ehjqPmMR783Ot6NRPrHhsu6sAONyIkM6hq
tt4MK0Bekme/75DA+Xv4lO87Z/a+i4KJfek4jJJrnt+by1bbhgNHj2XzZRcufY6f5rIxx8sWrXbF
MVo2bdGgsUGBsKpmiEAhO3vh93eCnV6q513Lzt+bmZv3w06bcq+nMhgHnZ4sifQWNUOdimtMpc8l
mFhKB8kp2u7YLWWGSb1hLYUHTpTrvpN2BhVJ7lcniwpFqOhDpWFLPDL5Fdk2oJIJ7PyUUdl0Rf0i
U+mQebgVVD6J3aMGNLc+XjAjJAWtSsublFrJzFHHlfJmoIaqW8tTR2DB1FaZadALsp5tq9mnS/HF
Iinotf/KlWKlUZ1hmVgNS7VWstMXDanqzSUyxseaqs4kSr2kysupgueCkF6qP1ufT3mjbRuqwnko
jj1VopblJ+6lW8bD2qaKjP3i1FBV4rRcd1SZsR5vwIg8QVlZwys9lmr7EhSUpcutD0wb6SgipEzZ
WNSvyrKNw7Wm/qSFVsWn2hCU3oPbztKdTgWcQv2lNEOSl2S7hhrZgkdiUzPbWkPWSHpPLMpdIYfX
LbW1X+oHlVpbUHPLcZ86xqQcBqpxGmata1OfJ9TpPvU6KWRuHVLsUcdLEUR+6vqiySqY9fVbbYrr
3h6v6+UI4Ae9fmVyKoiMgeOBr3EQFqSl4gbbkanAKSIShcqRAm+Wo4/VWTb0w6DwSHWAPdO+kdzK
GEqvbOyfUzCegDl7WqaSSBFcjVVreCNSxz5NTU+tqqcWTppUqwbuK3+D0mNCFupjXE2PA2KTtZV1
t5zzyVRY3MNaSw1RzNR8BPE4aqaZrhTWo1v2Uk5xoRzxblxrGH84P8BMiEfuOGFpl3EpbRo8amUf
F9uSZA1XatARY945Qk3YwBZ1dZsSZEApxNPB3RKC40bXXGKAntxcay4QU9aEtzYXi3Bb85ODWi3B
XMMqM/BKCyhMQ5W9llrGzZglD6XH4MU+WXPAwq/01NoVbax6dYHmOk+YwPozRyEJonghC9sVIXrU
OCoPWZQiUSEOAfD1Q4sny0F9BJA7m0/dUuYm0U9DRfkjWWLrlzmhaBG+pjzur41c/GhtYy9B9Lek
Ll1ztipdvOVH3VagVWusAJmUMogtSQUUld85A5rnddxNh6JSBlzd0Rl81V1vdBwQwvE2MFCQhQob
vcQRz0rOqOsUN6zoZ5C9ifqOnFI7Who/ujQcACCkF6EOG+4/e//73r/kT36x99M9PXRR81/nF9xQ
f9dD/VAAvCfcCjIfbEEz31oEF7/3UOlFsADIdB3AlCJIoE/wewFAjq3N3/yTX/qhhwrblM4F3FE8
Gb91Xj81H75qRnzuoNLBRRdAOpfg32NM82koWuNMbihbgjPGNAdEegRN+MOl+Uf746NO47OFGM6P
TRwX/5BB28O03nU1H7u0mVLIdplO4ylIzB3NR3s9ChHXazMbj6MKHZrYvanZULuSZyCVqK0UkF43
AhMUEnbem6NZm3YDZMKvjl2Nn9HNOkwJR8OQ5HGlNR0BOzL65nnVDPKqKAe53CZhBpWDVsVmHCv0
BQUwgkExlA21NafcYkCoYCDhynvjMmaEsmFJx61bBKytCN7EKmA9kHAzE6x+A0Us/JXFbb9WlQiN
gms1srRiHqGJmIYg/2ulsLwoq1DLZPWmzUsMnZy1q6t25FtE1QwdQdEdaQwf1FIhwiVEXphy+kjs
ZKf21aZHLD90huKYrXTqwv6Hnqi3ld3c1Ml8APPxw9CJwbIMcv+SSDtUtbaCwXwIQ3inQZDslBop
aTAaFxjvoKhA6iIwcSNHMB9lzotzMe2xGz+WcTy5LO/szEV1rkG+bDnj47eUX0IDDFpYqqarkWwK
ilR5C9MC1CJe7KmA+YaiFcyyBjGkHUfiu1R/vsCXd9H70mbEg9dCadlQKNZepJLQORO4NETHjNbo
ylcXJl9Ybua53mH+vA7Btmxiwlq8QEpobiymjkbZ5c1Yr+owuynq9iKkkHCkSTZepz7hLFwHgysL
Yz1ipMQqEa2wmTBnQpKZ9f5uLCuCywgqBlq1IGQtmskWEJUg1m90baIeHTFMErkAW8u3Ba4FjYbu
1B4ro5dc9LG7PhlJe0jlN83ofhKiBkI8NbIL1WZldsJEj67K3Mo8qDoR/Fy4JXQgpb1Nw3+DwvOV
5KrdbEinVjHv2P4Xwr+xbOB0Ziy3U5XDnFlXfZ5DyRMeYItVo7CTGCh8h1RsLMgRXqVy4fXc3DZy
f6/M6DtLPfBQKj4xtzsWcqvi0Rv3qMQuZ/7RXsmPGblMswbzvJSeRYMsWhp3hTYfVF/a2uaP0X8q
rHmPUcBa63Gwqk39rpoVZzmo93QyuhZPoJYlB11Ml4EfKy5AYUrmxH5MA/G4HEEYZyoHWyPRYNDO
FQmgmRa64dyRwTZXa3wlt9bY3GmYVMcAUYUeBpdaD04IvtLCC46Imkh29GNTZ+6VH6UU3lrkvcGb
x4I0rJc+mTDHfWVL+5GsVLiuxp7RxiY12GzBK3tqoXQ7rdPaa22IwbaMF3osP3HSxzKsIl6zC7L+
hFqSo6qNyXaUMvFYDJb50FgFxcY4TT4OFj+5Hn2zoWWaKisNlJAjRW3oVVJCu2aJ0A3bCeuUAGw/
8FoQsKVHp06bcU6kdQ9etSuN5Q3DWkl+h720gyrfeplxzVMVGz8kOhOrvjFoZZb+yk9x7rea3fAw
E3jaww+6mKzFOib061aWa0etoPAFPVZTKGsXfTHdZGUyOPFQULuVTbBObO3BMG5i7rxXdRIV8djk
e4uu5tEH4b4aZ075HJtetABYv1FNIa+czT3Sb+UA/3ETT8kmmIJDnCkz9BH/KmmLF4zVbkzghhVD
teRgdOMb3GW1fAKWBCYp3vZx+8ushzO86ZiYQVyh6pA+kmm8Dg3ziXax0wEOxeHCrMUfYBm3TW45
sTkdGl/3pilyYyx4cSV+kuQ30m/UvTjvH3vV3+hai4k3In6m1dZlzW1OBlwB5r2SNz/0jga0UiCN
HeObMZ0OuT1s2wrKvTTE90E47aKBV3Qcj72fbcDj0lxLjeu2nc96YzxCLz0VseZaWn8/UAwqA3lK
5tyve42KfZRrl7uxyo3kaa6iBjCQsUHuRYWW0qZurQiK0MgkDQyKG+vGDYZ4rmCqMBzKzduqj/at
ire9iWQ8iCHdWiRRUpRf0gxqt0Uc3OtTRYSyXG91oJAsNx4dvqOa8+uz0DzAEQDHFOyxlD/aJfGR
c+GW1GwAZ7dJxvCp8TMsQckzp3EPk9a2S+fBqTr/WW6TPdfai2YCfJGo7rVuumpKma+pNVCbpW2t
G0++XO56uvsAHW58yJaIKOY1gcKczqPwUtbGX748gKCZ8ydZo8gVc3S09ZQ0xeo2y9uZg0ix7TFz
bS07mw4KGJpYiAO5Yk8GcdNyTVOQBJeW5DJZIaNVGy5lgVkJ16K6Sqz6IYe+s5Zk6yzbiK2HvKoW
HTiC6RC6MiEvr1EqZV4lB9LDUBo8L7OSrsA8+I6qRenPsY1MT6hZCNYG6jhsCv/X10UIM+yPMjNK
kKVfIgyqEMILSST/88RFSXSFGElfOsUwP5Mfif2i6b8pCf7lWOe7j/g0i554io2k4yPkBYVF9748
j/E3iq9PSql//AzY9dSGJGeon36GEN2E2jwKzvLALm+iEj6M4y02va+v1p97QkvBZi/eJIEC1ICP
JzM++1iwBUU8qWbSB+cuo7lBz7kRi6DjrtMuh15xjIamp75//8z/jDSX6d6XR4n2+b+c5/rl+e9I
Qcsf/95J5CCBqIKwA7QO3JPltPDPg4SMPkvINoBEyIlIfD4eJHhdIQtZxmIPe89P+L2TiD4LRRVx
m8gnZARa2r9j7P7LQcJGJIJ1nMcGvaPx+dFUQ0UaWmqDU5g9zc1pHB8/XJa/O0Z80m/SqaTbqYEh
gmokbBJ5Px1VOr/RWl8fu1M36ytmV7/QLp9SP77W6/ZXC2aujuvIyzQVdZKU7/BabesqXnVmSfdP
MopNMaib3Ky3UgMysQvXWlP+lMhAAIJ+oMc/YoBiC57D9Kz0ik4XoW8r9RxkHBY4yuOL5SJiKq0I
+lTB8mGalvUdcYQ+cyWZMO1l/UJrZnrasqiRL+A7+HNTDiiCieqy+MXLMmgn2mu3LIxUigFji7C6
UJZlM1Css1kSGpayotrL0qosi2y5LLfxOCiOuizByrIYT3V+0bM6M/ClchOevSzb9EKrbcpKjpdr
9mrWdp81njxikL5AG2dWf2nZBojP+ZUl0hmYGnHiwEHWaFBIl2xvTNTSEnuJWtnEkEnbvOz27bLZ
QGS8GhNI7ss2FMy1RxzNvjLNZ1/BNg4aiOgFyeuS6LldtrLG1Og7WNs0iM8Se52OfBgo/WPDHmiz
F2KCOWjL5liL/pjihDXYNeuy2hrLNlpoJPouG+ucpJf1stU27Lktey/DPRTrUrzXJO2WfAFycZaN
Wp21m2jZusNlE+/YzadlW9eXDd5np5eXLb9g7++oAQZqAe4FvZ+c4xwjrf1IvWBTN2iF6g7UEQb1
RENdwTnrOlwKjY6Kw9T6Y0gFUkzDLhjj+7BnKJdRo5CgcCAE4sZYihekbPeCakahqiHlbF1Q5Viz
vpbG+ongIZqwrQ1XsHks+PG4f8aNNM0/EyqmCW97TQWlJuOhBP+OHT1A1EcwGuXJUnCZnJCowHgL
gBfFj4Hv0wNv2ngtdR2PTfVronqz4KlrVHMLH0aiumtAwsD8jxnU2q6spy/zUgcuBWFIZZjEdQJq
jmJRk8zbkOqR6SZlZBTEjpxlL7aSMcNfik1rNnXS2ilAI9iYnlQqvUeZFFOjdkuxKomavMClgJ3j
4UamopU6SluxFLl6NVJsK/r1uBTA3VIK4/VK6OerDUdoCmWhRf5qoHYOWoroiGpaXspqeymw66XU
Dt+r7v69As/eq/FskhiSQ5+PTuNSrlf0eEnh7ZgXEMDqwphYyvoi9DRoXHRsJXnVzhoy7OUgUBBj
juCoky/QOy3ZA0S9VvVFyxCz1Er6DGhAHVJE6EOIqtlyjoxXQdQdDCUAVpOUMPYJU/LH2V7No4C/
oqXlqmirAgFklJ5NlKb4yKUGGgC/2PfLV32eftS++mwm1Zb1DWWTQu4n9DOImtLBZwa+TMp16nkd
vREJ9zeFjp+RE6af3ndJfj309eAyKQKxD0tBEHYaa55qKp1XlPkFOCcWRIUvbQ5XeacGbknDnzVq
H1T+NlUXCCb9CKqFlJZGqMNNSuX7hCG92i1mDj/d5GPypMW+7jTRgiAjX1xpSSTwtch8KQemqvNc
NfBJqyG7JYZxWPeRulFNYBTqDH8wtGbOD1FUH2crOamC/ovdXCmVAbes4dSVocUCheux5BGm6HdA
DfGFpFN/R8PnNhOZ28GzTcmIJT9kGtrMZs3p9oNsFE+51jL9iSRo5yFW3K7mNE7L36tLQzvT2KyR
mSbkD/dx2G9yhBEblv7w3q/4BNGltzkuYKINiYvtpjpmFBGccls33BRV865LiJ3RCvNWrwoKHS3m
BJ6JpoL54/trBIW3hj/dWrk+P8x+HoEHwEypgxBxzGFctxzqNqXc5xuiaKBk8YdO3evdQx2l1nq0
pmheMt1DdqWw3WooF5xkKNcqXAYynYvHZSiVQ5sYTVJ7m+IsT+Y+qaY7OYxXfQSZtijDuy4Vt1ZX
2aS4jD10nbj2Cj+d3LLDi1vK8qOKl4ypi1Y9dEapeOB+QfeEPOhQYXFF++qDGO32xhf6uLY6+Bwx
QsHV19vzX6pfKISGQqlhmzp4IGMpKT8oMUWWGaoVxPmpTcCcjRDTjeFqqJv11x/z2fS1pBDwORry
OrzuvPafi4DWnLME+eYpI0ikMcQdq9KllWVPLJeIlyebGzCl234s16mVbBsRHoifAUaSX7BSHXDv
oIpMrkK/uzYqeaWGMGNsnEqB/1Z0BsNzXgFtJjpIDp6//up/e4XQwZuKpunE+jHt/XiF9KwrotZO
8tMA8TSYbhepd1h84yN6j+r7QyW/lO7mbycd9PsMkM1P94FjfDllSdefyiAkMcnQdvRPNHqAFftG
3+vgqfsHqUyLq5zklwmg1GAN2LAm/OO+CmAtztahNHdXOOvsG6Zvblf0J2zXnC4LkLG6iGlRFcEp
kqL96KOMGATvjZFxIJkY0F3rSvqctClO6iDazANdhkYhrymNEpIE1FepFmuCoTqXVckg9NRW3KJS
N3FYJxCjYREiEyfwRbxB1H0eTR3xhbwAq9PjNJsIM81Jgiw5xEc5LDNnHiGR4W2LvNCOTU+Jgh9+
p2S31UDfzFaCg56V+roB5LI1FCINCrY4BWf1FJvJqpTFGYkxGTozpi9S4g++/Nxp6043d6yLj5aU
wnkdlO0UawSV1+EqL3PyQHCGq7SJZo3SY+Q188yAiSB9p23dEiySKeMeLf5zEonwdUr1jWwgYjHT
8Mh0DAVeU60JLEFVIsbrjPhO8pogkhnzeFGZzTcuLtRRPFWfnwdeyCWCeBEdLjLtj0+dr0oF+UJ6
ezIV8azaDaqcsk9PhoRGjfX0KWgwDuVN6CrGSHhuWjusqEeuyozrmkQeuEZHfPjOMIujXlgPqpaH
6ybTq3XXyQD3dAGdKKIZ2lu9tZILLduix4UJrkSVh+SHeoSFSM6K3AXVfRNk0egqYUPzD16eg5PA
yZlzGdmMJcd4thcHUK8Upltn4s4QE7UzvX21VTyjgCDA4J00scF4iC1jN/jiJ8haSOQDy4CdQoUc
b307Pph97VYgvw194gkpnW4SN3rfH5M4vKki0EumvTGm9sFKEs2hbpRXRtVRC1b9qunQf1lLlKNK
PpSM08NTDOlZ4plwS1t9VFTpQQlBW1QtxsHQhEMwAxGSxmKlaPVGZgxrw5YTJCuxG3mkGssu0bwX
Zh1zSXrMfAz5MAzdqkN5soHzNtg01EF+rfBQ5Cbwv4nvSa5TgjUdz/jBzI31UGheaEYgInPTFXZ0
lZQ0zSdrXhXNtDJSvO4lBU1hBJxLeBl7yb4aqvYXHvkFCog0qovXbduRVgxCQqCQVxTjYDSEqTHl
RXNHJKUWzPQOqVCTDqW24q8SomihNy6Yzks91OjeF6AgpQv6+V44MMZU0kcalWtiKnPwVpqnKOya
qT+sW7Z3fP7QoqQq9tJE2sSDdTHHyNdt0m8HhT5+A7gA2Zayjhmi64N16VvKNsjbi2CoDrmlU/W2
qXROy8XGmZp7LRguSoGHH5Y596bExDrI8TYsh6PUcEpIDWBg2apA8uD6w6Whr0y4j4N1ysa1Ma0L
ZINmf1/KYCkz+YisFkalrx3IriJNw/f9i070ptvoiuKaMSFKQz97JXXDtpjaxpsM+nc9VYhZALYy
yZ7s/Vr5Zmv75k19d4h+3EFDe4rtMungcYDcb44ZevixX7qs56Q+KpxYvt6PlibOFyvD4iD7uDKI
EDdEnrEyFMUbzIZ+RGVwyIMHJJZff9BiAfvLJ6F/0gg1sUzkusvO+OGXDQ3chFjuwZwpE/mj0di4
kS9udUgcu7DAWZuM/UVZRpiUFFk5WhVxbEZc4H+IiWUd+HddZiW/0C5djbnKZEvtfkhRcS5k8yal
fOPU47aNuBlp4np5G6yzNnrKY+1eCtPyOugYTehhCFFJ75bZAdk0ympSIIVQ4m3yVjXv6azelDPg
RFXfd2q7i1SBfWPa6aV9HpLgombbBjh5kYicl0lauO7uWCr3WVmvotTfDSU5aOkIt1HPoAVDxEyH
4LEa7fpeBD62kEYNvrmqf+63/LbRf7yoS6vww0VNDGZdNXjvkzU+hfPLZP3Wj/uX7czv/v1PG4cs
oXWCFzqdIusGUotTqXffPBZfPxXv4OkPPwB7bCInIphOuriMYNFxmWT0HF9/yF8bpuQqaxZjcka7
i+7/z1dpNBuayRq/wobv3762Q0ZNcheN5jd3Q/z5GV+aUzoZoLrCVmtTmiqfPmgCKAxLsBQnyphX
NjXvNl37nrTqnci9d3Lnfme4/eHlOnLDH+Pqme73C290s1V3X/9gsbSAv3it37/oh8tq95Fd2gHL
SLvuPdI9V+NNt8muwrW9st20XisbrvMavZGDzGxlI7tZaaf89etvof/dt/j4dH7qIKd+k1oC1Mrp
YdyJFcF0a/vSdM4NEnVvc6+7B8PLNvYpXI9bYr22t1iyNuOWdc+ZN4XtQBZ2Es/2pEO3zTfNOSQQ
0Am8H4XTnWR32ug7e1dcDNv6LlvffP3VP3nK/vpifaqgJdFEKaGEPJcO89d181auy1vFq1yiVbzQ
g/q/zvbF5vL1sOp2usuBPd4jUN7Hp8Bl81mRd/rTd398/a3eCQ2fb+uHC2p8soxECHdryLjTKdzZ
TujOW7JTb3MYh6iWHQa2Tu0yqdxYp2ornmikrb7+/OXx/evH//EefVptWGqkqSmRcMhzsTKH4WKW
klPfycU3m9Kyqnz1OZ9WHeR0at/P6XSipgaX+SqP28F4mVTy1XBrleuvf9Xfr3H//FWfD5MSsy9V
r+LuhOOWk991GVz9zz7g05lPHUFuGRkHKAJcREwf0Da9rz/hmxvzbjX68LpLWWnl5sSLVpQnzGzr
UjzMnfXNXfnuOn1a3BoFymdvxu1pXO4KJGqGtO7/7Hd8esC6Ysau12TTaehHsgRPWTICrv5mfPbN
02V+WpUMP5AmmnPsBqPhana+StL2rKqdC83TjQdx6oFw/n/8LkR8mNGIcbC1Tx9JeIPql1HbnbTs
Vx2vEzWkybf5+jP+9vZ8+IxPL00a2I1Uhdp40mMiZ+SrLPumq/DdB3xaEqGMj2pcVP1JZtGmGZ0Q
CPf1T3jfH7968ZcN5cNzHEYMffyU55izgYMdd99vkyNHBGgnbrhiEvltwt0i6ftyrVl+9YePVOj/
Ka0I2aMeaAznrKpHIL6VMzyj1dn1zuVMVA5bt74iWcCxriTnul0tu/rlY3Wp7jm1g0lbTa2zzd1w
810A399u5B9Ll89PTlQPsuLz0innZSOXHNz/2i5XXCfZaN597uwh8l/8QrgFnPFuusCe8s3qJZbl
6aub8um+91JjhJU9UUt4ZBt4JFEJw7EvUu8aauBB3XTeI1FFTk7Hdo28fWO50jcr9Hdfwfy070kj
MQv5ULYn6aJwRnI5nfinviaK+qJ7G7flKjuYG5IjfgWPqjtuknPg/T/2zqu3jSzN+1+lsfclVA4X
u8AyU1mWZUu+KdASXTnn+vTv7yi4bYn2rIcChi/Q7IvBtFpF8uiE5zz/FG5/PzUfL16/GQXr1TyJ
UALoVcrULBf9gjywSSCqunU0/diu+/UaMdZkPMfU7TMpvrNkkS+ty2ZSzpq5v+4m/pd/FVL5eDF7
83n+Xu7GqyGxJQdsKGVLKeb60lySn9Yv4BeeBifK5N5bu4toaq/zFU29035q3czxYuJPVC+jxXUw
E0XCc3HwD3RvsCB+Dd1/bOJNyWR67cUifus7Zo9xHAYKGuxe7gZAO39j9sD5XBSgBBuPJglie3oh
/xLhg9O6JeOiIHN5EU27F8weXjCMXWzikA1zpwHp/wPyr2qLufL3XDJk3BkcxDx8BkgDkI1fnewQ
auUiTbLmfIwz2qyQsxD4ckRFtYWGBvJnGUPLIpaawK2zoLS7maGQ5FOm7SWw+NpyXPYlA3aIsHut
pOCE5PazwYK9lKnBtSxHD63cRojWWhpiUpfQnFHPslGQx2TTmyZVfpH2MpQt84ta6bdO4aFnwZJ5
4QqhniONixgXaoikROOqCAgtT0KLl4efDDv9kg/ZTetDSs0I15i6pvmpxD4kJTaxdqTPGKMSzmVx
vgdnbeSf1lnwpcrsZBIQnFJqxn3sePY84YtNhhhDAAhO7OnZXTIAjsCSGnnsEBFU3sGK6m4Glbs+
jjALXR/rmRpqtA+6ICYjwX4ofESOlHqnVR1/7FL8am3PmBuR/SELnIeici4Dg3wvtQAzlr2wnrtd
d27n7a0cpfdund25BSZOWXqPNSBxMlHpzZu0gwZqJZcIQ1cBrXw99L7EKmBoHtu0V01csLs8u+8U
5wwXm3qWDNjQ58JWmrQKjFULmqCUJad1BVKvu3R2YjKa8nIxZN1CLrtjj7gGQUccxvZboIdb7L4+
ajB4UebekmKHctLiQ/JHcuTSmHSdhRJCJiJQ7QvzyqRB5Tv9NwQx2Qwe4TKTXZmIRpyu0E1+1j3j
g14PmDYE0UfdU781qtmuh0D8OrjeQtea20SCjpv5cDPI3GtqyJVuU4dLOuJ3eOBGC9zmzlXfkJFe
WjFteyx9ZV3CXzVayBZAAWzzZVH78CYiMOQm56+W1CooqWEiYw20SQHn1Qyqinh4Ih3dpCAJJEKB
hvKDluP4waI336XIhAq9mOqja/Mk5Jxy3XPajxWtS7jmE8PCVssemcRDxd8wUXNv3pXjNURx3jW1
IUm2C1durkdbOw66iEwRNcaqtXC9mRdDkIRme0+KyK2NqRDGEvlXWcnKSZq507LriQaVgxW+O9I0
k/yVnErhTLKidCrLGT1qsspl7IIgm2PU6nfDRGvtLTmNp3aftQiLw3wOQE7A0UCsEaFAcy/pCQbE
FVglTJLZmKAcqb8SV4TapFRMoK18vCQYVz3RU9zKe9hy3jpWHZ8Myaj7rNqAwrDmKz/4xDC49YVa
W143NwmZXJhuIqcfLbrX2YxO8ahNsBEUyIFNUB0GH4F5ORTwDbWi9+5AHudYpZMjKlw1znNA4LA2
0YCROiejgvGJcr/2C1lQr43+Ci78sesVgTbHTEAD9bHjcdbbZlWskTRDpC4CSIIYkWgxJsSDBsEz
vsoysy+wTtHU26iT5eAshrDCPhP7yqw3rXvZaxpSNs2hpGzo3MzBSyXSjYLUbtXyPsq1FVd3qtt6
3Os1EikgKCam+wWmN/GOslomJO45PUbyj6fEP8elTtH+6+Py2t9U9ebtcSl+6+W4FIIYxTGp9VWD
6Fi0rX9T3DQs023ATX7yfCY+H5e6cqTYdJW5x+MUZz/KaJ6PS10+Um3A1ifq258adxivSkG6fBzL
PIXkAgOfEBQ9P18ZVPHmeVzEeJdbITkOQFiK3n1CvIGPcyFd5D7U7grGFdFKBGsMmAcTrQt9BmuD
treBmAXxFtFhlMbTVMFhctCcfFJ5HDa2trLjZmHW7jzplVWHsC7BUxxXP1JPNeWuMgjXgkuAkMGf
V32x8S2O2rrZojmcdwhGa3KVJoOSnxW9fm8ifPEGJwBvRH4rBUmzCvNyVTrOSYUOIMPzYFQxSAbW
JC2iPTUxxLS69rxTQcSHUg8w6VQ3MQaxCIdu8dgwFpZLwEoO+21ZAu5OMYeCL2FWx/iGkOpJznCt
ojnQwnnkh9duixtDr6HBa/P+KlV01EWkwSEylVcE28snGsLn6Wh3sIlSJZ1IiXXhaPGDGqASGVRA
ycBjLyUB7SNZut/ivCGvLe0ksMrwLNL7bBbg9DNP2zye+rmFJ2ifDYBd9pzT8Ng3apQlXXxTG6WE
HQ96Xju78jFnnqS2c6zAy5kAip45qUpeU7NU6/4qgGIybwThH44tSnr7myIJAYqaXvU+NCzddu7C
UEFmm0v4tIJRNrGWTAdT+zgmwV2UFrMuTlBo2BFU8CA41RXnJCzkb1U1miuYc/pMDZph7lcmaLOr
XTW1/9kP+fweymvMXUQCZ66vGhMJQJ5q+pyw6W0WRhiUxLOOJBc9gIFD1KiJcpD3kfuKppWTErrl
35K8+KEvsWnP7ByqjdYsPY+mVpHWw6QGmJ91Ib8XayQ1KkmkL6n5LrLMFsUdf/cKXaPSF7C+8jti
Bk/rMDgtAydYS5ASp4YJwK6rQMJONagIFTXkm3VOpZCd4y11CqZqreE7QQ2sAqSu2V0RFgEpFsDC
TVDOej2dmh0fFFSN9njcrgpFvlTVapobnbCEws7Ka9ZVmt80UrvMqvTMz7KFbvYOcF1A1k7VOnPd
7MjfiaEA2XJ7C41/W7XY3YT9EqkkgdEpETGpKTg0fKvBusyKrp4iWr62o3hRy8cFl7T2zJWCxSA7
cPjSC8VIL9UWgpQxXkgNSpd2aAn/QWXTkEPWZP44UxG7gkXFmJskgUvclu+i/jAZch4KepZP4ZIl
IKcNDW25/eZHfTTrEw0+Vi6WalR97bF5QOWMG0zfwN4pwqnbOM4SA721r0ADHF09KScqMdATO3Vg
BBI/Tgac5hJK5yNqlmxtUaKn8Xq/Ps7cKMTBQ39oDEQUxP08ZFp7W4zN/Wh1IXgwJ76ndZcDcWFT
bK7wx6jNmj6X2kJdbVK1PFG9uD5h7ylmoZ3jgtMXWKakZKQZaRKaCw2hi3GDn7xtL33E0cuG4GvW
UpEq0DD6cpzbDSkHczuViNEsWtjAK7yT8P2jph6DcylNhubakROlvu6cUtJOmr6hV2+ksX9bjrra
XkR1vso85Kp5OJBZrkf6IggMIvfkcaOU3ofK1TD/j/pjXU+bRSmVeNZI5olh9cGM/Codoph5X2RZ
hczLxPI+1G8jyYSE1qL3UuTRPNYyJnOU2pgp6zptEiP7krv6xg9LdVbbsFwhrX3DOgYCnJ/JEzoM
6JW4qMDPhAY8RP3ZQLphHzh07HLpTE/LK8ltThI7+9IG3bdRgina4+tRKejrvNwgrlHrjxGpGHKH
hMXKN0GUfTADF3KsahBshxM5iDbUSDU8dyvnVAqHu9hXv42KzFM841vUJhiHBDNpPFaHPpzpBsIx
r/wQ9Ww9si8jXJr18UnsW2dyFMN17DMRXrX2NQ2Nk0Q/swjGdMJkPDetCEat4XhzmXhVRKnqrLOM
cRb0zRnY5An1ljtlFPKVlRZUqujKlpresrfrOWKzwJqPUKhQyUkf62g2Gt5ntawAzqEH4gUFvcuO
nI43x2XFiZyVNsLhGfsY4T++T2DufXaR9Dk2CVl3mts15Csb3xtPsS6CLj0joSsBO3UvHLR6VVKt
vKbemE43zNU2uh7QRM7HRGQfOhwgRtjcuE1DFmSXfs7i7DiUCAO3mvEWPhwE7obonageswl2hNK0
zOpt5Tg3bNALOcfhOvHrieppK5qXN4h4RMBoP4V8ui467bK18w+OkX0NOOggTsrnuowUzmDdtanu
YrullFNDLtceOafsup3H1QUnGj+K1o4xCH1lOiV0vlhWRtBNA72CMNxcUoksUrX+1CYY9ESFD1wM
uXNo9H4eyUk7lxW7gAHu0rXy+KmF6H1mRvAWJUlZmiopaDUDOsXV8EKmvkfkUR8TFl9OCtM5tqr+
BoK3jB6TQ5AtC7eA0VtKnXISp445HTryT7HMjE8Iu700FUIapAqKTZ3KyXpUY01wHYgm0gqXFEsN
1kZwyYX9k0SU4AKzLoI+ApcNzuhWY6KyJAz7UsWdD4oITjpm1t9jCP4ZyOSiSq17CFD3vSkv8sq8
zSLvNvNyc1aTuOIm+a2c2StNL687Wz2BSoOskLu0HPsnatltPHwQG0vdOhHGik1wNSoWPjy1fJ3q
YhOXDKyrSv+fsvspjEh4hf+m7A4qUjOyZkfhze/9UHjTWxBKERExRHvpp8LbUhw8QGGRIiT5oU+l
k2JELCBdJMpuU3SQvvepKLxJDoKORsSfTJsBB74/6FORRPWqTwV5BNE7CAoyFZOP8qrwhjEMs7Ek
Q7MvZRZYq3OvzHUar3rHVZKdCL8L3BrlTqbfY8gncpxQVJqBFa1jW85uA0LKzugYiOBnrbgO2ThW
SEmq8y5y84e8Fgz/uA1O/dgaLPYqdIy5I3UabD6pv6zKpL4oQmiAkmwiwYBJa0OXVOiopG56HtGj
ebAl/8PQxwbZo6iCVTxyliOmpDe1PRh3cWuxFGh9nNWVb+Gql2bFxGqkaKEYQ/YJtmE98bVK3UL7
jm8NOU5XnoEtXZq71abFkHnuy3aA8YzTLa0QM2IU4vlVF6bzuAnqBYz9fNZ2it5e+FKqt/cZTlH6
iZK6IyGf6G8bGOt1I211zwn9c5+sXEJ33SotLyyfctHylN6/9kNHpPY2cJhHNiHR/XGkDKW4p/u9
vshiRLWYtLfQwWe0/OLgxJRSymVcTIevYasWyVztHFxM3f7OJOp3M0iWkcGNM9OF55vG8dDg2lZ3
2bjBxF/QDtVAhvBFrlTgKc7SzVvvKzMpIE96HDdu5Y9bM+hvS6lYpF5wLFlZNUsUaprOKPOVlHew
sG2lGZYRNGy2PNJJo6zHJg2abQ/nPEO3HXReAF+xxgGoaBMK66j4rFtBvI4d5UZjg17lEno9LIna
iYFp3MoMK/Pahly6rqXaucnlwjzHYFWeYfpB/JxaG9lHt5LxCm5j56tEd+gYiyIiBvvkAhNXaVbW
Lb5hklT18y4uinrWuwFegFJWrYfcTT9w+8U0jyrli8e+NxsdK7zpKetOLWLbzkDywjvkI2TyjEJU
G43Z3dj00gmTF38zS+TreqV7a49Jd5OGZTxvsj64xjUmv/TbmJgcGNSkHuo6ZMOq0vFJxES65sJo
VDOP5q419bD7w32Z7Re+sx5rx1bfaVeDWdp0JzNT2eZElC+KAF8+h72dTD74WP+0QJ48w4DIfrMX
4zi0LXfsxPzWjzsxO6kQqj56grFJf1f5KUcOpTSEJkG0J8Xmb8TAoW8itltI9s8hNN8RA/sIxaAI
/sB8TDiRqX+yE79FDAwYfGhJ0BmqsoFsn8/3I2raqlQ3heQMF5wX1QKaWDqvdLmKAIUxDz3BprEn
e601JAmj3jQ/67rmWk6MpWFHiGdKvPICXzZO+5QKvQ1V1FWVfswZIk/jQasWqlKDLcI0X/XklV6p
OsIilFPwTgfPWFZhduuMSjiVDPk+LSjtFX+8SgI0Ym6HV4UEt3mieQhj7bidplkrqnMrmgZZN04U
2+NmRzz2NE3Uq0iT4nWbdA1OEMZcLn1jJVn0YykAq7XCDo2xk5ka0yCPPgCdbLuouMY87zRPsEIs
ZVNah5TddNHjeDrWTn4hN2AYqggs4ymuEp1h4dJxbcb7sU/jmds5ZzKufjgfxoTStldyNH5KmvzG
CYsTGvxfZAkafJ7wYcdOneKceqob4kwjHmzM7YfRQVQ0DFExtdX2ZLDIeSNnrphKDdCjb/YLB0vL
iEOEbSxbuFk1t6TiLFXz2zDAScrSchdn+aScd8bwdQzUcyWABNtRBAe+F0/pohb2ZaXZ0rCUGuFa
6fN+yMYJuC1xYVHw5cgzlDX9Ao33UqVWbhQHNeK4HW2OJsNqT9LeIL67JO21qjBXShtQGT1B5gBu
lK8cD7lhp+qf84bQTEnzZoWez9texWdy2Lpwn9F0kpjnesKYGidLL5tZEQ4htT5mC0Wu4zM7JiGm
HEza6CSd52FOS2fc2EVFug/dryl+JVih6RUWH2a2binDwzC7auREnphm3uFpEi7wrDBigr3Q+i8b
xbzqO+8zfi3OpE6qE6+sY8zVqNNtivKJTZoh8INXz6xhlFdWnAbzLIHElglSZ1A4n3KXJJHEK/Cv
NE/czkZSUUBCrY1gIw+jSAzLNlbPFY20pQCAzB1X4D36rCMHfZ57Oh51aoNFizLmtEnIw/Fq79py
ATywbFJXyGrOajfrp00qzL/6UZoEhUVfQddPYqm7MhX/LoVhMkn7xJ5jhHCamOqKEAU8oTyH+Peq
msWSSnfMxyXPY0dHIFSDfmCHCV/1IiMJgVsTcu4uum/C5nOYaF/zAb2pTr8NXviWTQoXXQ9jbcjU
LTrXOSlBJaKOtD11hupSy7WHUIfWXeX+SqMQ6ELnvFfT6yCNw2lijHdxUcuTCuerhW2E4SIX98ba
RWKZFVeUSfEkDKNtOKJdHVR3OTacUGosmZNKr0h38ILrzPc6FnUQzwl4/Jx22WcSDpDYt/qmlMMv
ZNFixVJDVc8zYnqDjFyHzP4UltIJer1jHA3kudwbc9PPj93MwEU2a6ZkD8DYdaQ73NapqLLTrEwA
1KCLTnzPuq1H+PSRpzmrNie0oErIhOqIuUMy4egXapTh01DQ7Xj451h8PBYFR+HXx+LHrb9JdiAD
4rd+OBY1zh1D54TjIBPZbN+PRYEMoKciUUDGvBsZ+wuQzi1EN1SsLQEMcMx8hN9fgHQHgy3E9OIC
Y/FLXGv+4IJiKIKN8yOQzgcz8XLmvdDYmOKU/elYTGPuLjEf46J1/KiahZp24xkypsapdNzE3lxh
F5saopXgts267wZlkiWqOVda57g2InOa0+NfeCFaQykrlk3IdEwV8OXMTOZhk997as+UpYrvXTDS
rJFmmtR8qhBCfhiwtl6apeme+vpgci5ZM7NAqp4jhDnjICdx2lOh2lrK19qtvsngrCviSFnXoUKY
eFZFc3pDHwalv6IfYV4V5BRMvagj/ypOobJwjQEIowfhgSOi8mKzhL09t/toEXqNRISx5c7DJCDM
uQkeFGyxOfNaXKdqvO9WJpHDnMKjO6k1lA2RmyoXrkqyat+k/DvfSVcW4tdJztuPAdBpaWEyAnRR
0sZ2EM5romOidWex5V6EmX/cp+qqLjnT6lTd1OjITkyPhZ/VrUF/I/yQGRWgX3bSSjLMKFNDN5Ow
ykcfpX/ZkKPV0HgpSYmZY5l7k4/VtVOWOA/K9tooxsuyi4YZkNJnrbDuszI7L6BjTErFP8ZI7dKo
3Y9eizS4owxo8RYvc30tN86ZQUjBjNAGE9Nq3VqisLsNu/gYf+67Pqyxr3Kkb71no6erQefj9ouR
Ots8tYq1ohM8Gqa1zanFsLQxdxXN9/zTIMClPEJ2+0VNs0t7CD9FspXgQgzll1SZfi5BTJgjrRon
Y1V9BpO/s00QAF3N5hGC5cngBf4UvOpTpmG+nsgxhjcg+rNK7j9m/Onjx7Zw0BJckY4ErprEYk89
vbnMRR8Z8Jb4NlrLel7ftrSaEy+FmKEpD7noQuNhJkzcVWyE6FDjk9MuTNG1Rifs8faYJzdgsigP
RXs7EJ3uXNfWkuh9e3YSTjU7YyHQGB9okOs0yjXRMXdwZp8rYRXNGrP61qW0lCp5SKas/Xyai657
MBKy6rvOhNswcr6ANeL2GfHwol/vKsWU65iGErRdei09fd/uLzSa/CrNfp+mvxnZawkQoFHXWFS7
3ZnDM3GWuM4FXmACHESJ+dlykgsQHY4ELRxmLiBDhDQII4Ftlda3iPnkWdZzbmZh7swryymnmVNT
Q4TpIovyM4xalpWU3FTAGlHhndZJnqwUAI8Amy0VAERvOuRQAhMp+/4iiVVMQOX4zgc/MUxu5Kbc
WeuwsE5VJzkPwFpiAbrYAn7Jogh/egHJeD7gDAhNsG7Aa1RwGwX8JhZAji0gHRNsR7eMz01ZXagC
9PGjzJn1AghC0YX7ggCHOO7wMmrqpadjMEfYVz+VwJI60/2Mb31KViEg5wjeNArgic4dRHyKpBxc
yh3LbSGAKnWMuV476koWIJYv4CyHYZ22IFwqSFfdEdCnCfCLNFcdbVtpriKQMShTJzpIWeD7FlZM
gGcxKJoMmjaa2kcXTAtPBIC2Ai3YBJ+1DxgZcjmmf+9p6ZUq4DkFnM50mmUtgLsitV20NmQegem5
YHutX53Jj2Bfbh8HAv5zreQqBg/srUA69kEIAwEVwvk4NsEOW5F0W1OSTsOCut5Mu2geC7BxlP0z
7Mqgg1CNzaQy/uaN7sci50YxKCJxRMCWvR8+lDkdoIzekyygTV2AnKmAOztPGlc1CKglerRjMV4N
AhyVBEwaQYXotWDeCPwUHBU3j3ah5+WxYZMulSq+Ny0E7Kp1EChiMzMWbjLcJmCzZDFuqDeDZS9g
Wxv8lmLoRgXPHa2MX1UxyWv1RQniSyzCCfSfVVi5OGswiWgwYJFsgBMPlnI/ghsbHnt2D5JMIsS8
UMotMOBZDdKMPnZuCei5GsjmA4vOMN3D1g79Kyi1G1Eag1rLXr3QWyYBLm7s3PmENos9MwTU3Q/W
xxzse9SNbVSzUQaamc3bWDjdccepQcwVDXivr5yL0qGlrYKqQ7+pKNkxhLZEN7hVoX855VWJlBN/
pRF3w8HbcHaW8yzwGzRZQzaHiWde2LZkL+k9qcuyKm+DSLk2UpJ2SL2+Uaz6LkQbPynZFyDIgAPj
sI74qFfAw+2vGoqqZemUCz7f1zLEbTG1s4fKRbjrhJhepBBFztMoNEg+Ly458/Ac5GddjkGJQ1h5
DetKw4QZv/3mwRWh5LJVPGhkeoShU01dyY24E7hnSm42E90bkOVk+Cp7Pe7PbkiGAqusmLq2gSRB
ZpXlAdB4kC2yxlsNZHCSI/1Vg2sDKyC9HrLRx6wy/BJZWExQN2t4Xi5JE11SR/A3cNtrxciVadEW
1vEoWeu8Fmb/qY47BaUR2evjAKSpVBfkbsy8IfmGIivDprm76DGeoGj3TmUtwKmizr/ZUgqgpDt3
nQjfkAqUzl5qkp+EyUqOtY2MXdlVaadn7OaV457prb/0A9xnsUwA1cDIzCnOsxhPDnNSBrLn4d5R
4J2NaLnwn/jq/x8wbJ4/4s6cv++2rOKnlxn+Mh+z+eukwP/Tf/RSqe5+0B8FB8pUyz9V5o8f7DG6
8LfPiTeEOTUPRBNqzhHeGTiFKbBVxYvSN85oyD79WFJUARPYVEzPQMUPY/SrUfj9F/ywrV5lKr59
zm8//GvGrvy6a/fvDAL2V5xXKpSl19+evhyIxjOZ+NC+vTB723sKWEdEB8BTNkl2Ey9uR68HQcW8
iwjJx7c6tDEwZI025p7LQD2yuAgYjxYLP315xTrCcNBWbNCzx9ehjsFr+t6frwLzyDYgutO8fvqm
zKyfhgJ+H05zMgYuLBPG+z88EX7sxBt85H9jDvAF/94JrSPRoAAJJSVVvGjQ//T1ofxD9EAGD/Xr
kGfCG93DvzMTNGLU4Ab+eihUh26JIqTD//mZwL70+lAQqos9twSNHhOpKkDqT39unvjzfGDfhGRK
RiYz5SAHQX7duPvzmWAfQRwg+sr41SDQieMFlvRUivyH94QdM0HmONtzJgDCqY6J+9PzvvhmY5SZ
KmKuGAKpe9w5DnM+PE3UJxeJ7+XnH5WLpCxSCMg4hb5aDYQ2WtyHHRbEYY/BUxGzzxgg/eKQ1OGT
794YOCcNThIFTPdQN4b9Cyb7CLKbA6mImS9er3dH7g0K8Rh4vD3txAe4MexfMdlH4PmqAgbxOOff
Xp7kI5gdXK8Oo2LatTs+lXJ7LAcEHBZ205YqpoN4vbk+6FwxdY3rw9PSO8CZsH+xgOgTQacB8Pg0
CK+PCIpHIrP5R2jnD/JwEFYqe56T+pHwSeCqRCaOeLHAXldMqgMbRPgaHuQYKHsXTICWjxaX+ttW
AqNjKkiG4UI+vg51DPYvErhMc5E26CX/Yh4YRwZrBRz2sOslAUbvuSSoFUyZ/CS0bY+v10uCsokf
QsC1n/pvh1oxKPuXTbQXCOZWZeu5bHqzRYrT1DHhtxxqxSD8X/acD/bRc/Lnc8XwZj48NqJMXRcF
9kHukSKpfc9BwFaBXpsuSIi7F4VypDpEITjOgS+Kp3Nsj+JJYyjwVLToYT4dCjvKaIgvkGZEgX2Q
80HZv4w2jjBSEvepp+NgV+dNXDYUVLsHOgjG3oemKBz4fkwF82kmvCmjVfjDgBRANQc6CMr+x6V5
xBiANei/aEGLHiw/42Z9qDPhub7fZ08gKYbSyZLppTy+OHp/KqO5WmMioyBlP4g+/I5bpbL/rRLy
H01HEbv59HpzUHK15scigvtAl8ObBPI/775afEfirw3zVzNBAZwlVgdb/QMdhOcde7/lQPKXUI89
I9RvZgKDoIjIK+dgl8PTFN1nEPQj2VBRY79sjK/rBMU+EvNAt9g3xOtgz4inibrPUJhH9NwA5Cma
Xr7qz9ujDKOY1iMw3YEuCm3v7ZG6Ec6kbAnG8tPr7RlBdY1psnaogyBMcve+R/BXZh5g3LJzJlAt
ILeybJWz9PF1oPPhDcH+j08KqkeaKUQLIiN7+ao/Lwr1iC40yL1AdXkd6v7wDJnssz84R4roMFjW
c/eJr/rzUGj0oy0y7kSn+iCvVEKKvffSEIcBFeTz/vD6vACjEvg9p+ah9qOf0YJ9ZoJ1pMmmY9Jc
e1oTbwaBIhNFJmfmU3fuUBeFUO3vOR8MrLRUkzKJU+N5/f+8KCinuX2DWR7sebF3nwGkSnce3TKf
r9gcw68Hga4UheRzT+PwkCp1/ys2hSJsje9r4g1cx6FJECh+Dc+8ygMchP3Ra5PEVRPlmPyrNqxy
hHElcrWD5TwKfGnPPYGZIEJZaaY87QlvLlbUDNyw8Yk5VOD2+fDa44wQ6LVGmay+kF/Z/n7eE9Qj
kws4NilP+88BLoenHXuPQdDsI9a7IDA98/3ezASu2MKxWFa/V5eHWTjtf0bI+DoLmar2K0qHegQb
WMbX+VC7DcL3cs+dgXuTZiKxwc7z8UWh/POiwCCIyYKf0KFWj8/E1H0WBdAMUdU6MNQvSyaAXQW7
00PdGYRh+Z4zQWMQZKLqn5GZt9AMNTbsJ/rxh1o3avsj1zZ7AjRYaudfLAdRWIp/ALGei+uD3B5F
dtue8wE+MBYyoih4vSVwkCI7I3vwYG9R+5+TFvdFqG5se7+YCFRMOPswPoc6CPr+h4N+RGdRINK/
aDUJjM6xaTYhGnt8PU66w6ubjP0raNFqUuAxcVl6fL1B6mACg9LZFBSHOgj7Xyihd0Jg0uRfMYHF
hZJQadIqntoYhzcT9P2PCEAJi/aqTHb24+tNqwkZJbdqFDWHWjY+U5T3qZhEa4FLhLhXP77YBH8u
GxkE3YHpdrB0aH3/M4I9QcMpjFv1L2YCrQUxTH8EV/4f1sx37fHUD+KHR2kyfhaP4o4nye2//A9e
dLtvH/CDvOpRaffTf/lxyLdPz34SYYn//z+bhyRIZ0FVl8F9rT5KBX/46Yt08PGdnn//+Su+ffOf
3uzle738y1WwLTflvT88/mB4/qDnmwRt8//G/M/D5rU4TIADL/9OvPd//9fPH/aHGun3T0e+v315
0Prhv//rydBViK7+/qr/7sOTzUNWvjzoh4ezpPZ++EQYGb4854dnswvu/ezpJt60/Emql2f98HzO
wP2fn8VN9eZPChLMOfYOD0/rcvPXNNsZdSFK3r3fYraN/zrPyp3jz8mw9/Pn8V+zrGTyvDzrh/Hn
Fr/38xclHjm7Hs6Bt/fDl/E2TV+e88MHf4/lumqSr1n8UL99vCD97/3R10m+LYNN/PKovz+98h5L
dp0OOwZdkLL3/uQn23LHmAsEZP9HB6m3YyMQPMG9n326iXbsYYJ99w6PrqrtrjF5jwV6mlV//W/q
bePtrpF5jyV6tnlgA34Zhx8m4nss0bNNGewamvdYouLZebZrdxdckb3/rGfb9CG7D3btXoJ18A7P
L++3Dy8P+nvcBZC9/8MzPvvLc3549nss07Ns55i8xyrl0Xgmb4cdn/w9Vur5Jt8x0UVnfu8BP9+2
m7e1I0kU77FEL8oNW8DLp/zhz/keS/Qy3tzv8qkWyP7ew3IZN8mu4k6ADns//ENA6VgFDztGRrSy
937+9ea+5EqQ1jvOUtEmfoc3SP+abIkC3PUG77FUrzfiDcp0Uz7s3MiEiPNdvsUs2Hq7vsR7rFrx
JRasgPugut/1Hu+xfMV7HGebotl1WgkJ07uM0mkTVH9dfA2qfNf3eI/FLL7H2abe7nr+e6xnnl9v
/ppsyq+bXTWDaBe/x0jxHlPydnds1qJT/l7vUDbjy8P+3lNFc2//N/hd/OGjC9wenYRrehg7h+Zd
FvPvE2T2/uxZvNlVPYgO3/6jTmGyy1pa6DD3f3i9SYMq3jQ76nAh3dj/DX6XF7HvuP/WdXvvh1Pj
B/WOok3I3PYel98mb+/90RsaRMmuvpxgBOz92T/xhGbXWjXeY63eEYL28iH/3sAEarv3B79rvu7Y
fAUE9i8evast+9367W2z9sXdcdev/dyLFv/FfbzdlP/z/wAAAP//</cx:binary>
              </cx:geoCache>
            </cx:geography>
          </cx:layoutPr>
          <cx:valueColors>
            <cx:minColor>
              <a:srgbClr val="A4D76B"/>
            </cx:minColor>
            <cx:maxColor>
              <a:srgbClr val="00682F"/>
            </cx:maxColor>
          </cx:valueColors>
        </cx:series>
      </cx:plotAreaRegion>
    </cx:plotArea>
  </cx:chart>
  <cx:spPr>
    <a:solidFill>
      <a:schemeClr val="bg2">
        <a:lumMod val="90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Quantity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Quantity </a:t>
          </a:r>
        </a:p>
      </cx:txPr>
    </cx:title>
    <cx:plotArea>
      <cx:plotAreaRegion>
        <cx:series layoutId="regionMap" uniqueId="{F753AA57-269E-4BA3-B886-7D025DD2A53E}">
          <cx:tx>
            <cx:txData>
              <cx:f>_xlchart.v5.10</cx:f>
              <cx:v>Sum of Quantity</cx:v>
            </cx:txData>
          </cx:tx>
          <cx:dataId val="0"/>
          <cx:layoutPr>
            <cx:geography cultureLanguage="en-US" cultureRegion="EG" attribution="Powered by Bing">
              <cx:geoCache provider="{E9337A44-BEBE-4D9F-B70C-5C5E7DAFC167}">
                <cx:binary>7H1pb9y40u5fCfL5ysNFEsmDMwcYLd3e7cSJs3wROnZH+0Zq//VvyUuOW93OyBfTwH0btz3BwFYX
VdJD1s7iv++6f90l65V816VJpv511/35Pqiq4l9//KHugnW6UkdpeCdzlf+sju7y9I/858/wbv3H
vVy1Yeb/QRDW/7gLVrJad+//828YzV/n5/ndqgrz7EO9lv3HtaqTSv3m2s5L71b3aZg5oapkeFfh
P9/bqyT8mcssXL3fvEb+fP9XskrX96t3dl5nVf/+3Tqrwqr/1BfrP99vjEPev/tjerst1t4lwH1V
3wMxZUcc6Zxwk4qHD3v/Lskz/+myhgk5IozozISRH+96Cay8iaMHflb393KtFDzZw/+3B9h4DHgb
f/39W7gb38YIgA9Y/Pn+cxZW6/t3N9WqWqv370KVP7wu2dv5+Kifbx7ezR+bEP7n35M/wNua/OUF
ytNX+3eXNoH8G5DtPKnVPjAWRwQJQk1soIcPQDnFGCFOTaEbmyDP52g3xhP6GRBPKA4M4b+SIszW
e1jF/MgU1ACA9cdVzCcIY3HE4GMYTN9EeD5HuxGe0M9AeEJxYAiDEF81a7lSewEZC5Ngwtgryxgd
mXxc6Lq5CfKbmNqN8/YQM6DeJjowtL/lSb4XoE3GdKEjEMebghrDMtYZxibeRHguI7vB3aCegevG
9w8M0r/S1X0u9wIqBSsKEQ4SeBNUBKASIigSD+t6Au18hnaDO6GfAe+E4sAAtnOwGUcrS1X7sLX4
EcJcCErZbk0M9jSmOjcYBh390qB+K1+70d45ygzMd9IdGPJWXVX7ML7EkYFB6aLXjC+CjwxDNzEm
k6U9m6HdWG+SzwB5k+DA0HXWybvLHNz0f15266B2DR2E9Liyx8+Wk6yDh6VTcJInXvKbmNqN8vYQ
M5DeJjowtM9X8R6ApuIIYMQMgTJ+zVMW2MAmZxMTey4/uzHeoJ4B78b3DwxZN3nn5BKMsH9+HVN+
xIgwDfIU6xJihykmBAb1bO4yxd7E2m6kt4eYAfc20YFhfhOu5YNNBvG8fzS6CarZRBTCm/rjeqbb
gMNFxE3+GBqbKOj5fO1Ge0I/A+oJxYHhfLGWdxChtfcQxabIFCbg+Kigp/Evgo50jgXD7HEiTHCe
z9dunCf0M3CeUBwYzgsI9Wf7EODmEaPYNAyMH3GeCvAxzskN+MGTSPZ8jnYjPKGfgfCE4sAQvlll
787rUL27+hGqYh9QG0eEExMLnT+Kbliy07CJCVoavCqYBC8d6f8L1nZj/tpAM8B/jfTAZsEyWWfZ
HsQ5qG2CDCwIWNmboEP0RHDMqDFxtGZzshvqTfIZAG8SHBisN3my2ov45kfEAOuasSf3amtNE/C/
BNhi0wzGfI524zuhnwHwhOLQEF7dSUjjZ9U+JDc/MhikI0FwPyrprWgJPoLkBvxAzGz8TIyxmzfx
9gre22PMwXyb6sBwv1hn9/lduJfFLY7wmH1mDL+isCkEyZhJ6Rg+e6mw38TUbry3h5gB9zbRgaF9
XKc/8uS++uc1tA45K25iXd/W0PoRZCcpArf6cfVvYv0WlnZDvTXCDKS3aA4M6NHcdMK1vw9pTo4Y
NpghyNSnxgyQphxzauxC+k087YZ6e4gZWG8THRjYV3KV+fsIftMjNsY+uflaERHUChqQpTanGns+
R7txntDPAHlCcWAIn0Hh6T4KiMwjCsVDRNefFuyO6IkJ1yBPOdHQsxnaje8m+Qx4NwkODN2TtFjL
cJX881qZgqwGOW1ACuvRBJuGu7EB8XADwmdQiDJ+Jpb3WzjbjfTWCDPA3qI5MLzP1nIfMRLjiLKH
ooNHKEcsN0IlEAodK1EwLPlNE2wuP7sR3qCege7G9w8M2ZOs34fFZUJJPoEAGJQAPhtWm8hyCIIJ
0+R8UkI0l5/dyG5Qz0B24/sHhuynGmrx072UarMjwYnQdf2x2m9r3UKqChKWGHMC0vulm/wWnnYj
vDXCDJS3aA4M6YuVDPchngFmpoPfhJ5qDabeE9QBGhRzk4nJIp7N0G6MN8lnALxJcGDonq+UWu8B
Xoh/6LDZggvyaGihqaUFq9iEyzoAvLmK53O0G98J/QyAJxQHhjC4+2Mdr6yHPdjT5riIsY6w+aiI
dyxiKOiGBKWYlIO9javdSO8YYwbaO6gODPGLfC/h6zE3ZUBQ8ylsuVXjCfY0AawFFAdurui5/OxG
eYN6Br4b3z8wZM9z9e4viG0l631EP/QjZBBC+XP0Y7qYMcwAncImDaj/3OEcv5G53WjvGmQG6LvI
Dgz7i9U9bJvbjww3CdQLgCn2DOuGNwWaGpmQrNTxdF3P5mg31pMnmgHzhOLAEL4BuZ3uA2F+pFNh
Ckae9kVu2WIPKQxTB4w3Jfd8jnYjPKGfgfCE4sAQHl2JIt/LFnYG9Zs6rGH+ZHDviHYJU2cc5sBz
zOSl7/wWznZjvTXCDLS3aA4N7xyKCf55kQ3bbSA4IiAR8WR2b1WBoSNDJ7DdCk9CJBdzGXoF4w3y
OQBvEBwculm1luv+nweYmkcmgy3OFL0msfGRaZi6SaddR8D6nc3TaxhPRpgF84TmwJC+XBX70csE
lLIO6cRHy2uHXoYiEdg3ySfFnHP52Y3wBvUMdDe+f2jIrpvVXtoGgTNsEsYperKqt7DFkH2CfjL6
NDJyOZujV9DdpJ+D7ybFgSH8rf6xj7U7FvNhSBRDuOPhs9UyCPY0wyZIDjJ606aey89udDeoZ2C7
8f0DQ/Yxkmet5I/VXhxj/UgnsPMNan5eSTMKaCrEqY6hMdTDZxPoN7O3G/Hdw8yAfjfhgc2B62R1
t95PNxKIZI7VXk9ZyF3ym411JOTX5HjpT83nazfqE/oZcE8oDg7nGjoR7sHSFkeCmgx2PD8tcshG
TaNfkKQCX4tONsxdQ/57HkevIbxBPwvhDYoDQ/hjCG3BVHi/n8JNwZFB6VMl0FZJAVTqUmgaBmV9
kxDnm5jajfP2EDOg3iY6MLQ/1clK7gNqKOGkCEMQ7JXqkTFLJaAwCBsTu2w+R7txntDPAHlCcWAI
g/nxzlpDx9E9VYAZsFMO0ha/tO+m1IYIGSIINmBs553fwNVupHc82Qy0d1AdJOIyW8n7/Wyggp0z
0IUV9lM87Y6c2mQgxqFwDIHdtmWJA+hvYex3wG+NMxv8LcoDnAAL2HxxF6q7/BmCf6YHM4MaEgZi
+5XlTkZXDRuc7kD+F0dzrMfXgd8eZibu24SHBnuw2kurQKghg3a8sIOKvhZjIVAJCiIB2iA8z7bH
3ts3szl6Be9N+jlAb1IcGsKgy0/zVVnvqxIU6kB1Akv44TMV69AekAjYlCPE7h5Eb2PuFcR3DDIH
9h1kB4j9BTSM34cZ95C0Zgx860e5vuV8Q299wmHXtD7ZiDMaU7OZeh3xzSFm4r1JdGhohyoO+7ye
oyvfdpDC2COSgoomzwcpgKretNnJkQkt2g0oNppI8zfw9ArW0xHmQD2lOTSkH+uCwQ3fR3oEAipQ
KAhdIl/rN4aPRicc8l+TsBqs7LFceS5br+C9Y5A5kO8gOzTUq1UWqmRV7yOWyqCkH0HrIfO15qCQ
80RjCSmbbOmAE0newNUrmG+PMQfybapDQ3xs6ryPDAlkQCkhcNzCU+R8Wi4MZps5djPaynDfzObo
FaQ36eegvElxYAh/WgerfdSNgv8F+6BNKAp/JQE6Hn0E6U/o3P1ouU+MtPl87cZ5Qj8D5wnFoeEM
G/HgUKs9mGbQrAZ2QYMT9pTI3mGHj2VIkOieQjyfpVcwngwwB+QJyYGhfAtp5HovNhn0YIdOvhS9
dvLCQ2oEMtommqjnN7C0G+XpADNQnpL8L0D59yxuPPN40Nlfz17Ojgjp2w+pg2pf04RKlccQCizT
Dd8KoDUx1P9DzdKjp/1878d4GZxD9Otkvccqhl087cb2Je3GMz4+4u9fyn6OoHv9eLpfJ/05q2rl
PpwR+OKEut9ffXh8ONtwQvq0BX3HC/tVtHly/+d7KPGkBpyA8QLZcaCNDexPc/4Zm02yNQRZ/3yv
wb53cJPH03AYtHaFQ1Jgrbbrp0vQFpQJENNQVQiHFprgYWdw4EMApxjqRwKyogy21QvdhKJSmCAq
rx8uQdc5DG3KHqqN8cOl5ye9zpPez7Nfr+Xp93dZnV7nYVapP9+D91Y8fmvkFh4QClqh+TC4+dAU
S0CvSrh+t/o49uuBd/B/OqT5jZRZfTn0sV3K2vKVYYU8tV68lx23wQhU0vRGBnQtH4uvEIGzJUZG
XtwIJ1VTmpFeXKLaEJ/joNRMO2VJPxyD32lIm1ZZrZ8o5Q03EYl9C3qy6V8izvxvRR7xU+n34gyz
tLAKJo3uOujpR9rnTe6Yvc/UWRNHin5vutLk161XNs0iwrnuNHoTWmasJVdtlCjshkWREzdvk7qx
ueZ7kRUqL/saxr1wDT5I5Kjszkj09pLpRXKl16hIbFzESb/IvY7aSVNbWqLy1mJhm9Mr1GAjPm+S
6EpWcWulRdbZgbgGob02VHGflf7CU+gTa8rjrKVLQzPzJUHwFFoRukL3FiJ1jS498fq+dGicho6S
2En68mfAg49DoV9iUvysaXOTYD91W11G31icK0f4cX2hsUJelsowT5NQXBQiTdxhIMrKNI3+1COV
HetegC6zqizctPFKK0w0wyUtv6CVuFSZap2B8Mbxw4Esq4x97rH2NSFB6eRRYEirqnzCrJqSAKaF
l7qgrkIXtiPCEBVZ4NiUn6Ve0c4xeRZ8VH6juTXD0hUd6r7qSdjDWyR5Zam4lo6uyd6JjOFjaVb8
NICFc/n7OUZgbU6nGGyigB4x49EmFKb15hQre1n6fsflpXLTVSstfDPcMEuzSrs6zo49bAWO76ZL
5ko3s4xTfUFdcuzZ8d/MdQNW9As+OLQBhZMJIY4CjYkQ0qElwiYfRifb2ldBfukR/7RPgs6O/dKz
ilYnFmexcMvGowtJTBlaHkcXPpPeKQaMzLhM7Z71l8JDvcXJ8L3qcrFQxEsXcALswuPDd2Z4hhV5
WmB5Q/elTApmEVn2NlMRdbrWIxYOotQygs7tqVi2OLMjb7BLnXvWYIjjgWKrJ2QJPbWwVVYSJoXQ
7SbNjqNOd3KqSytHhdu2/jnx4sCKsxA7TRFaaRopBxbxZdsJuiz9KLYU9T/7bX6MaXpRdxxZGi+W
KIaJxkSpL2oU3fwe4k0hAm8WUsUmtNwcq7ApxCUnQkQMpBVF6slL1KTREgRBAg+PMlsLA9fIQ93S
S3/1+1uOTUo20Zzcc4Km1jVMNrGvLkuffjM8aXe1nzuDYsd6Wl/kpYcs35SFxcrSNhJVWYae9eeD
rAOLa8Z5HvKvKFSl1Sjtpxfri6IsL0hufkDecGf45fe0DUunzMri7IHxJ115/VLU3+VFL0M/eDqz
99ev//mUp/Dfw/Gv//3jeOTvf39brvPRplDTL433+fWt/x4hO+rAX+fJTjTr47nBz8roLRdf18kv
dasBWYcX4G2p45eWzaNV9KDjHqh+aWOoSRh3TCM42ciAvvow4LM2JlA/PFb/Q0yMg2U2pjCetLEO
XZzxuJMeVrMQcGgSrPhnbTx2PYEBId/NIe85KurnF7ABEdghT7+/1MZ4FFGb6hh8cziNx4StRBQy
bJMJXg00L8q67i5BWwi3ab2gsHIasdiOWdt8MDWjP426JotdhOLqW5XrzedYV11pKZGVX168vV3c
bC630TiAdyGgwx4cMgFHKo/O5EudDfO4iEVQN5ekzPClHw+ZZ9UsNwO7a6pcWE2r199YU2ihJVNe
lXYZSVDdHiwO3YZy3exeVBW6gjGC2iFJgj8PhsbxsjcNb417DXeL33O8QwXAJiuo4hdEGAxatqIJ
xyELANu+uqSd4fuO2Q3J5waML7qoWJ8bVtN3OHJC5nFrYGYfWn2M6DJtZI8d2eTVfdAphe1QKwxH
wYHZjVWlAWosEDWx7/qgFq/jWpymSgTKgSy4uFVBeRYnrdG5odLMi1AGTbr8/VNtwwCFywga4cFx
XNCg9OGhX5hOrNf8VisSBYrcE7e5zzGx9JjA1CiyurtuOyluCg8nX39/26lpCG0DwFxlFM5fhZ4/
hI5svbitgTpfL5SfXWZ8wJc4DurLTEk75F5w+/s7bSpMA413ElD+xaC7DGzQ4JN5VmR6P5QSFCYv
kL4q21wmS6/iPbHiInBRWSeDTVHPczuiRpv+3aQZJ8XLRQdPScb+ZDqcMwudfqe3B1siDPwsDS9Z
GRurNKqNVZyMPBhDqlxT5rnVI4B+2SZlS6wyztm6SoQ6aUWvn3cmlcimbZTHdsSy9DOVBaFOwPt+
XWhN4SBtSJltiFyXxwY1h/pv7I3xJJAp/2wUG7CtAc41hyZrm0AhszYyw/C0C1x76SqUlQLzWYur
TLdo32f+aRuE8Q+fi+K8G8pgYeZ6F9oEN+xnxYYht/vAZ7aeR806lJTdN0YRsNPfQ6xPrCIAmeoU
JtEYsYIEscFGPftiOpmSh0gGFb2I9LLwBHcqEQzLruqoWFRNXduyK9GHJu2N2gqCgNkSZ0tFZLFM
9ILYcVKmH4vESDuLJa3/pY3S/KRXVWUVRll8NlXMHa/MPLvOoyi0wopGreWBDXzZFpq6KrWBur6P
RWRpg5elNmmC9Ngwq+Qjifxrv89oZyU1Ky8rr/xUkVSjjtkQeJFhT0A26PUwWKjl0XkSGPybh2r9
NDA5Ph/8rhF2iwI9tWHShScal31qtT0fHNwamjNE3V2hyuqmRhoLrDatGPgEZX2ie4R8KgPcxkuP
aTi0hiD2fkCKTjZWmJXa9zplqVMUipzEeVac4FIk92FTmLDuaRrfhMLrmNWUun8qPVnbPbyHJXiO
4qps087VW1kuMO5w4yZweKdvN63PS7shgeemikqnLsRV4Gk+cjDOq2NQNaS1MxSZFq9Y8rVLUXBG
pChuDFoZy1pEGlkoMx1W3Mylq1AXDYsm5v5C6zq0Iippfyq/KAx7IBWqrcwnjb/oqiiHxdG2bu83
NV/I3AucpKLpcQZftUABSXDhmrRhVqSiSLOZ1zKL5UY3WHqVeOAXalm6lGbs+nrdow8txboTKokS
K4KZVC1o1Qq17Cjrzs14GBLvQ92WVZpafZj0mbwPvICQ4ZtqtY6lgSUkiPL8jvRpVFEJB0zWdYEu
q7hK4+5UhOWwbERdeSepDMPCikiS3yCm0ZOop7S2a8DAs/oSiQ7gSjl3Ms8DfVglcVuC/d76yJZJ
hb2roEQmy4/jnrWB03eJqM5NVVGYUa2XY9XaNejChakFkXfVwNIxfbvkBYcJR2OVLrIklMJKSlBe
nts1oWlrHkSTDKv3UKbDWbBemoKnWbfeok1YkrrKA6tgYWR+Oth8MEBiZiTWazsNpJaA8dn76lqF
Wpq6uR/yn1rdsBA5KCfVMtR5zS8NzfO904yyihmRnXWqHPpjBcl/GbiFH7DU9VQzlAshVRYu+sRM
+2OkVFrYBumT0Gad0SdLGZahZgOs5ItWpAN2oMg/Th34h7SrJEKagleeZV+iNBXpCZWiStw4qMyP
Q11Ruoi0nOCzoA0UyywWkKBaerIpshtQxvQ08gcSL+oCOHDzKvEHl+NuEDaP+qK9SHkPU1uDpSId
D+P6VFLDSBzfo37tsKwBOEOmwD7JhogO6ySGHhwOBwZSh/ZpUJ5gFOrHfshi0yZxXFInzEPPGWov
NiytlYW4jrw20m0altEAvn40aGfIS/QFLjzfAHYFK1zcB0N+EoS49d1Y6EFrjd+zsAhFBtPHp6Xd
taE2WFUXat8lNOTsNSuEdUQu8ZCFQ2jxRtfopz5pSX1pFqLPnUyU1YVRZ6CSfMViIBAphbflhQHO
vg04yYLTsk+TbqFaYwjPcOVXn/SIGCuj81LP4hgm76LOOkZdZQ4hMF/jKHUSWsbK5q3nhjgsvyVt
C5ZF5EfNDcQU2h+FDOhxw1rfc3lsIGJl3INxjCSPukUmG3w5dAXVP6jKwJ9wpcE3WlNT3K5wzzq3
IWkUHsuOkPYkY74iV6HGxG2GynFyRlGplixRgbruer3iNipbwCZoM2AsVyB0z0CDiVvKEczuFKSk
dOBAtC4/qZTwyHUk6zj+SHgm9JNOj9r6ouqq0fgM+u7aiDWzgzBPCrfO82ForI6k1QC+KRsffmS9
BfkEfBUpvtSNDJ6iLg14VUGcx4Mt4gaWTpH4cfghkwyWvKzBKvDhGshUUmXBVYn1XmYWLQIEcLey
qy9SLSiUFaK67BYddAqgbt+UZBQasJhseCIQIJ3Ao51cZemtB6c6nvImDLnFAyOGedH75qrNKLDR
yaj/SKsOqTMfzNzoLC+yOLrhoC2WKkP4shR++Q1K6s3SCvQgJKc590V95gW53zi9ZGULBm5PlwWB
12ojVvZ3cRIb112tUH5cor6Jv7Rm6qvj1NPSn/0gRhkSlknggB/AqRuSPlCLwkzFFw1B/CFtCx/8
eh3EXC/b4GOYV+pMpHFkOAaRxAexB2EZqwmIuJWR1vhuQjJYJoPmUXGiZzku1ykI5P4UTkOCtdGO
EtuNDA3eaNcMjQtKpi3PsKyJaXsCwoWgaWmDwPQuo+9SNOKT1oOZfjqISuL7SmW9slKIuDYnYUtg
qC7FwWDrrW/6JwXA0tpaLMzFkDdNddH1LLmJGnDDOVPguHeNcTy0JoATI6yGZZHEeX6RmZ1+rlVI
z92gzNLmzO/bIrC5odLgE1gi6h6JDMQIiE7VWHGgWmWJtuElaIG+vEn8EodfcT5Q3lgDWGD956Ki
moDBlCfdgGmxf6p5Rfsj8JHW2AlTZnwSQiD4Q6c0b1jKulShGw41TNKQVBG97uJkMC5Ts0gSqywa
ZF7oONA7uwfrRrltUABqLc9C35IDS0F2KJW4uKOddJqEcLkceAmzP9Y7nzm91yNle4Uyyy+t0eNP
USBhroGmE7cw11N1nYkMg4AlhYgWPA3M1urqb4TXLcdWHDfss0GysnVaw6/0C91LePOx9JSQoNxh
RrtFSAFNcBz67jykVZyfM1kE9Jp0KDFPPIhlwXN1neZfxFIrWidVHsgMsMbq6iJJPOBfithfqIDH
gdN2CJ30pQ7rvjdNFloQy2QXD1bpPx0juQjvZK7yn9U0SPIyRvKf/8cjKTuyGwg8oT+ewxVb4ZS/
kiLM1i8DMI85kZHqVzgFMhg6oVB0MPZOIGPX0F/hFGhDBrkF+DwGTcAreU5ucNjDCR/Y4WdAcN9k
wNpzOIVDR384jBiO54A2s1Cq8LZwypbTAXkNSKIAg7B/TAfnGe700unwJWujiPLkSsPlNz+sQCrW
yQ/cGycJTjMrMgdbydplRmqhhi0G6p+LHkKcPAVN0qblSRqWqVX7mi1ZTRa+gRYopzdt2BCXs7y2
G78/R5XnmFoO5gWubkNOCjvByXlglIndaPI4idUqNTvfqrF+75FQ2YWW+rZvdGcdb+7jGpc2j1Hv
IEpds28MC/fZ4KJaSxyZGp0DC7CyWS1qW++RaVd51i+yvL8mvWE4xE/O6s6gFizBrxTcKchg9Pc5
Mk/B0y6csssKy29UbKU+hagweJ8ZE9eDwF8ab/CtiIcxuFtaayWsgl/NKLQHvyAQ7vU9i3kn1K8W
Pcs9qwTZZJG2ux0C/6Ji2VnhFWcBPJOV96G0UkI+tmHsND7kKeKMXHiYfPL6pFo0sDHXguO1IJai
GnDXYo1buk6PU9qHtseLL5D+0WwT9X7t20ZThv5NRaLiOxgEt/2gt2cVV1cFrdQywS1Y/aX83vkg
9bN4mRataem1kVt62+eQqYDwd+Dxi8Ant7RU1KrD9kqDkJEbx/XgEGPw3UGAwvWl0JZaXn+kWnBv
JF6+BOPDxmBSnOXmqupWYHct9MJcqZ7my1qiZVIr35VFm+a3AgfZTYKSIl6H/nDfdpCpoahyWV3k
zIplwPlK4ujSg/l9gqoMHXcVya+I9MSVnnrqtBeerYvazVpmHleyjywUoNAOdNFf0mgAWRfmabsE
t+1Lm7UOC9Pggnb5GkQ5OUa5L0pLmjwYHgMJ/7Q0/F8o5yBi8rqcs6EF00P9BmyK2SHtgPZZ2kGF
nDG2j6ACY6ilGwNFv6Qd7GiC/iIQKIU+9pCk2JB2GI0JYOjVySC+PNZSPks7BkcRcQhrE3Os1WHQ
sPFZGj+FZ3+XyoWY1SQQBMlkCJ7BocAQ44SfMYL9UtqJlA0ia4zmKmlCcPNtWeboNOmwfpoNEBWx
IzP93Ec+sVinnfMMolSRkTZWG5lOkGnIwlX0qfOrs5h3Nw3qznsPR1YRmMICCwBMuXAAD7m6bVNI
7KX0xAhNi8LascpxgXbdqVnUpt2B1AyHBJKhSoGv6wvLY6JbSkp/Uu5XdqvKzEKQcbXBXCCujLXS
Gjhki6KI23oCkQOhgm+96QWWSvTeFVWfOkgWn3SzrmGxa8SGWKxNiwHZfVtZul82tsy8L4nATkXM
3pZKOUbY/jDrGDJlZerA8SF3ZcRCuzHDryZY4xbEkE9ox8E0DyFDmJOvpq8vOSsG22vpIuBSs6hK
j4nZGE6T82PVpanT640EV6370efej7TqrlAelJYBcfgQidBO9XgZx90Jh2DiAnethIiyllvcL+59
yIc7Hc6+FrkRWTRoqOPV1dr0yHCp4n4VFoZ3VhshBL0MklqBb7paxvFHohgkTiFkYoejcZ2rDjJ6
bXyGjbL5xkUjQcJBQcECQnf2oLPQ1T2WL5KeIjuBCIrLgwCyU2IA0UgyddEj3jkxRLsXPA8Lx0u0
3q5gNltSxYGrhRDW6VHouRlS4VmI8mTJRVvdEKMZbtuhCZwcgSsUqwRd9GYK6rKN42+5bMhpyJj5
tVFp+hHy1+V1YJLwhGPZnZfCo07TJ/kpuCpQXqDpenTutVkxeurdeS2HhFhDirwfHQ81DqalVp5k
BH2Ic4HdIGiLz6iHF7/0ID/xXYuE/1PnSe2mgoC3WfW1G3Nu9ymBDEhU1FYzVDBvJPjAilxU/QBv
vXVLSGaqrPwG4Qpha2V9KYOsPfa8qlsw1HSgNyDLyoygsfSuuNQrUi3KFEE0V1ZuicUZhHh8K05C
8IDpMMYFReYMeoydHPPQYWmPFnlNg8Il4Q2jGUThQjO+yGFb+1lc+82tgEDRiQkHNFgB+FJLjWdg
dmjyZ0c87RjiCE7H+/Ax4Pr/hfnY1fZ1YT52qMy2pfhDK9zVY9UNVMHCVgc4ygDqSqD+YLz0S4rT
IwQNlUEcQ5AaurxtSHEwbyH4Oh4CCqklCrL1v1L8YcuTgIIh6MkKhyC8SYqPLR83wvljz24oHhiz
f2OofJoD5HAeuGlqaLiiaXBb0qSyE4jiWxkkjh08pAtemkvc5idGr9lNJ27TvPctVHe5kwrzU8T1
C5pXJ2kUQZ0B9yBNxdJMuOG4lJJxUeWwunwtkydVG/rCyZJI+wFhzhRmN6ZNcMa8Ju1sI0OeZSYs
OlZVFLppHdUfUFZQJ6/NmzYGw5k3/ZUwEmx1GXWKYIitsss/9b12mxvZZ5pDHB+RIbGRbE9Mrb8K
Qn4KByE7EFe4kwMYo3HWWn6EPhYRuRZcuyWNyhzIEGDLq+KLppCxXXvZz14OkRUQvPB05jtEptQ1
SHcFUYBVmUSdYzS0dvo8uIew9+BUyFO26Ljro6q1izzAixhaN3pQcqP3J22Xa3bQ+me4ZlcU1EiN
g7OhZjbCkHFoUsipYdKcQcjxS4DEN01nIMATCtJIuZWR3sYhpAFkNHyuZLtoalxcYq910yL/Cdud
nUaGH0VdNFZD0/PCT09w2t/Gqj7T8uYnkgaY+FrPbAKRZFCmTWNpkKUBFRofl0orbBpAlLfPieMR
VNuQhOFXpC96e+jL2G4qsH2DvP0f9s6suXIbS8K/CB1cQBJ8HJJ31XK1VqnqhSGpJIDgAhIAF/DX
T7I87q62u2fCz9N22GGXdKW7EMA5mV8e5jbVEnyOByLDcwTKHPSqbul9VNDJu3AcEq7vDraUXmYW
P+9YcAJMcRxHfSkb3cFIq9yNGPTQZ10cj+3BRg16gKiBHGt1bkwEJa1us1AFQS66aU+xOdehxAa4
EJy/SyG75ZXHqs7wM+F5YDNUy5zNYoozEZJXT3OZ68mGmV+HuW/SD1fX7Aau5bRjnhn3wSji62YO
j73s9KMwJb0NbKuu/IBPHOiILEBPHMW0YJeMG7prpqRgbesfOlLZfYPr/3as2CEh9EQG88WLoqM3
Bl/myfo5F8YrrAn827AP5HXfoS3jaYyjJGrXrJwkybpl03ApKQ/O973bfgmD+ypQybGqp0NK+6Ob
+bmtDVS4IXhlYRwVdeeqC5CjOU8junes3Y8W8JQPiyGP5u7NGbUPpupFcWi5qYVXIfB5ysYBIaMx
NI//yxL+Z8sP95P2KHabCG4lOEDcP/wPUEofLlPdkNS/NC38/x/oA+f29Mu++T/l5a8swr/4FcBt
MEjcwx4Jc/YPrbPr+WJkFdNLbd7G+s71T116/fNX/H8/o7a7XP3yXv8LYQXAzY8/9Rq/PeyXXoOC
A8EEBdx2hYYJPp6/n1I4wBIwJ9ADoLj4Ab70u7KCm/SA4QR/hmaEgnHBl/5xSiG8F2LEIaZK41bV
QfBXTinoqH86pUDCgExF4gQ58HQ7D3/tNdjCh3RkYrzIyvZn1qT0RnfLFesaYFCj/hKjYB6krY+d
Spr1QygzkPvROZhna5XDt2nuU9F3ma3dveX0rEyr9kMDjcFfHYCL2ieHqpmAdPViz+tJnODqeTnv
S5pBd+UiT6eh27dJ34yPjvffUgEFgMQJjBhYKzLvA0PP00LWcwQqE92Q24qssakLt5VdFvUXT1GI
VVtJ5nyF4syv01OzFWz9VroFWxHHfivnHvuf9R3bSr1+K/omTbwi2QpBtZWEzVYcBnEKHRb1Yv2z
cOR+Hm2lZISakm3F5bSVmVOzLhnZSk+zFaF6Nrf+VpZa1KcadapDvSogBgWoXz3Kr+atoLVbaVtB
Y4Zew/J5NNAOtgKYlwSyg7b8s5xV/N2tcir3QzSIDGYzTmhh/GOqxwdRh49Met146mNB7H3ld8MR
dnHeDSI+DpEz3WNsvVRnYiyTKQuTkh5Cf55kBtzwsy7H+bSlkA9jV9fF2nZ3TprbmPbnrhG3gxdc
MUv2ysxn0saFWqHhbk2eXPOo6n/MXfBQ2fTbfzaPn8z5ttP++wIX9qj9+HOBuz3ol60DjOQ26nLT
HYIYh8MvWwdoG2wA+BsA5XYL5N8ZN4THMB0Vlec/FIzft45tBBe0hRRqboiboaf0r2wdEEv+tHVs
CgWIOWSYcNu47fn9unVM/WLgU4vwYhbq5esynWZHUdvKMISuNexVGIyZtu5rEmBpGU7fdciuberq
ItqsKLng6rRaXNlZeVnndTdEejpjaz8Wi5luFx2bgqZa5UqNby7tvomK7+CPPtRUHjpnz0EYPAx9
LyEmOugN2CqwboPrroXTy0nybOpU5U3aWphE5TO0k68RHPAMVuKSx0t7iXh48ed4lw7qnDTDqY7W
8LROgEPHOmD5JJYDaDnw0v0ntq+HcebRuePlARjnG6scFI71y4INL6sDlN0h3OYspm1XhH2Zewtk
5aQXX2Z//F4vE81FLY7BqLqshxyQtQLYgp1sl1d9eFu3w7mpaZjNWn8Ok0A1TpTN14Zdqlb3+cyH
i4ym/ry0Fs5OVXL0qyjdaqF5nnq8vDWx8gqQBGucDXT9ZMFU3040eV8rvLl92Yr7AL5RJoz+ENgi
bqRqTlFK4NsEvTuIzrCLQYGzS5IZn9ooaKa55XndoiaUvBPZJP34ANmEZ7GG7UaXhN97PPQPay95
NvCqydou5BkoEZVVbch3nmvkMQyXBppEFRyk2PivFTRTvMBt9JSCaVn6hb846LLUVChR+3JP57DZ
6dYCZVdhu+tCeY1t7mq18lJ3/sk6vhZVyz7LVcaZTFq6I6ZCOzI6ufPLxB3Qqzc7TwqGN8J32FeH
9GAlWn+56PGQBvD8Wq4BdMEtf4B2yw5jH4kdYH959LyyLKapCQFFh+S+wSjprF3xSoclRgEYe/Ge
cWJz6WaWOcX7HYEHD1Otrs6RMfOBB+LJBeZuHL1uJwhzmbL9m2ogolUiBvcxpPTcp9C0OcrOzK3b
W1QF3ffZRPK5A3CQGZF2RzcC0gwWrrKm7PxLBDUqE/1aoghN8B5rMh7ZDIVZzHQGFjFWP5A6SLBX
J+Vu4i05elbux6jZlWWXglYCbdSmnc6AqLQZoxISjpxZofu2yeNJxverv9zLZXyI57bemUD6Vd4E
zS2QJXuEq/1pu/XN+pPY294fsyZt9E0FhzIPl7ho9BCfYjeX1zFJpgMrO/oQkPFLlSpLCs+OS3kQ
weL7WTX27zOeVbKSGh6/bDLDxHAglXvyyezvF2hmuTel564NYtDrzs/SacRpbhwSI+sKQofvqq4j
Z0K9YxWGz5ORNkcd8dQO8pzI7m5OTE5IcmOi72USXI0qnl5c3XzMsb1eKEHjAFG/YPM4X4/AU45p
ahEf0eideO1dB/htohdX00Q/B9Acub82N97s+dmUJl9WBhivkiuDB9L+MAkIPQA8JyXdPUSAa0h/
oMc2WbBrmTrUlQ9iYRLQDJ1asgnqGgDb9tQZeEuJCaO9c/gI/aG9jIQ/Nkv53VPjt55ie2BePxVJ
ra+q2X9d6jjemToE/GUU3/ujD2kqBMFI9W6SBkLw6rdZY6Ybw+avI2Z9FOiq7tIlYZlqk+4E8Rrf
aT2ZjXUz5b1VV6P0jjB+u3xCfEV6arig43GZBNyTkSUt7KI/TBmjo5yqAuxV/A3lQxvtVLfcdIF9
VzQ5dWP0Ar83OlWtn0m9voFSA4ulliNedLMX6H/h7a9FEye3QmKXSRXJAj3ndQpFdVL+kQwx+rSh
kEEFoq+a75GBum4CE+Zl1bxZlh6TLrz1eX8gdDhwMFj4TPOl8fH/0atgVZWbavw0VXIHqNPuJuVO
tqUCAZYmJ7S+BzdDcBaMeRO6K2Gb+zYlhV+JpwYgsIi7YzI2XTG21VNT2RzQgs660iRZi0RTCS4Q
nSGa3QVcdpCjjP8ox85lOMeIOxgWGHZXtXWT87h78Cqtd/+pjX7WRlvB8u9rowtm2fF/URxtj/q9
OMLMQTg4yL8D1qeYH4u+5vfiCEk9GM4RSOAY1/U/xfHCv6UUsRMWhRiCwjD+6B99VYiZZnGMf/Bj
Nz3xr/VV4R9DTEmIv7DmwY4DSPb/CCMPMXb3OfHKGw2bcReuTZ3Cl0zLKwI89qpLzFRnxHPjdyrF
GS3BN8b9Ne8T+R5OkV+QOZqTYyyadtoNoSdPXo9g0SIryfMgFuoL1xMsEuRSsQV1wkEWQ5MPKb0P
9SttyurDjl6p90EXiSIyk4K2BACtXORejJUcdrYxQZo3mk77Qcs0PruEpFlau8yUY5pmddVj7UuE
oAAx6U/C+AKlD3Z6VJUTZLz0B1aHy2LkojISynTfwDHOgCe6DCXJuRn9S7+qKxN5N+s63/vhei2m
9FiG5Jqi8vC5OC0VAk1RrJsNsonAQk5IFxgqrnsaH7ye3MlpkA99ya5sL2Qec9blPDX+dWeUzgMy
1zsXS5npnsgiGcbLYs2F1AvLZk69zFF/tyqFNoyDZs6a2ELLqUKnP+vQPlaN94g5pm2UT43t7shQ
rzchrfft0O85uqsXVU15Ap6tBKJ5M9EGh64Sn9jxZR70Cd8FimXw8ovUhe0jiaN537PBIj60BoXW
7aEb8HL7JgayZhdkKZK4CHwAZxOfy2PV4wAOI7O3KPNw5G4E7Zwbz+GATkdUiAHCCxVI8DXcTzGY
Yjf29NnAGUtEDbzGNWzvNbzKmr5FkGnV2donPWJNYyfBjKcV6umAm9w4LQ+/LMX/W0/aVAnGMLEA
ggbGT7D4D9EM6YnZq1MjbwNP9PsQeOOrcHifZlejSPzP/vdbb4he6t/vf//Vvv5Q+l80h3jU7/vf
dndA3MMmiHD3sYBFm3L4+/4HexsYD8U290dZif0NdyHzMKf5N5v61/wT7jHpYxggshu/9Y3JX+oN
fwZ0fs1iwPzA3oPgydalIsj5h95Q9dFaR640F68Jn6C6PwYmumqpua8XtGvzRMWZeyhLfXqUzsmi
retyX05YBHYZy8wb+iFLHCpbYLUPHkXhJ/rEz2Zq48ys/r31BoRnUvysLlFi18jeP6VcB7C5m0ed
YBWsHRaor5YbMngKnYlEE7VOJCdLVBaJTST06ICgP52HW69rn2AuRDfJtHbXMghspuJggC4DWCRo
kgM1kITYBNk+FijEV909iY5BLyLIAHvanIY+QqzTclRpYG8T2n4gofEFdDvJmiA6qpA8krWGIzIY
7IdA+daIvyG9JrMhGmF1Y5uCkyP9a5+HPybxqkMYBPyoFBq9eRqRVllHiXekbmD0LHURrKbf9U6+
ziuU8cXqH6Odz77t5yz18IL0VJ6MZncO2eLMdTuyXo/WPy+UfY9kfFKepFnqUCemSXStuUYZsywZ
nRhyaot/QSS4ybg37nzm4SMJE5NZzs0p0dhYsSE+BHym9ykR70vQ3ZuOAVltwiavfPg0waCCzCST
vw9jQFl9qeyuqeF2lPXsZ9pj10ElTm5EzjPSopCse1hqA3hmHX0cdgjZMAOBMU6RfoAZMuz4YKdH
bj0UhX76lRMlM/jeh8GTZ1MnTzRdX33Cu0Pr6swC4JGTSAsViDrDaSiyHl7A7E1BHtvhHPp4Lase
DmnYyrwu/c6766ntHlk54BdrA7BJXVaq3ysFcy6YyB0u8NdUVQqGEe/OovZf9DDdaPTaBUEnVVRz
+LHM48eUOLc3dumzwbDyCJD+rcUShdwQiLyGCrmv5vExwr581TLvPEn5rV/Tq3XAwR8pcVAzuR4c
jnLjMW9vOZLOqi7nDBzErZUrls/0JHj5NoiEHbsQ0QVJ2sdyDQXOmPHrECanerD8yCJ1hsrXAOiK
YTOa7hTz6FkLT5whN8RZLddH/Mz5egBjApJZqZ1F9DX/Sa1PGvEDP90+vCV0uReXceGX9KtRUufT
CnTDmK47m2Bc8oWgoRGuGtB6wN5cF6NeuFfyYyeEvpNwZ7M5HIqlc/6eje0XJKFlxq0AKCzR5gaq
wgfUd7uykSOg5brCarfByVRKZErGotDBePJW5p0GJk6JXzaHGM8lG+LQZdgWbcYAu6L/WzM1ICRv
h6MkcSHVahEqsdCOG+JjpVGbA2pfUBGIBIl7xJ+pj1gC/gNNxJ0E2oLa49lf5FWkx7MKEdym+nFK
MCRgNe1BkLLOurZcs672b6dlfK7gjGaNE3ctHe9rPn9h9XJj2vUFHhjIMYQqs1bJLwgeneniHZ0x
TxYnaTaMnZdB9wiztFmuazPsEk+rfeuYQVu03JQaFmXnmt0y+7sk6M/BiGLAmfGTRuX3ivsXpLtu
EUa7AwYD2nAyb2UZAXyo15dGQFOgA2M7kPffTZtA2XGAb2zQPylBrxbSq93U4KpB+tDVX8JRRseK
xl14SFkU7IRCbiaqVPGfI/znER79r0f402/Dkv58hm8P+/sZvsFmsQc2AN5cCo/olzM8xBC3MAoj
P/rp/vyu7vp/g1OY4lwFrQt+bbtx7D/UXfy5h/gy4kPM2/i0vwChYajJH9VdChkZd+EJEEdieCpb
g/NLzg9prSUeBtPedX5P6Q0WfLmVoZXXRogjzkGaLcs0MfCm/fswtd9XtYrDQrpHOLICzsObm2Yk
jkZ+1NB6BzDKmWXI8Yw0ufUsWFkiR2xR/UKzUqVTEXEn9kEfw7/p+S3BmsunSUBpK9XFOPuDxHWf
Ren8g/YEXL8y+ZhCjFGsulro2qBuljekH+60p6JCiXC9RRxpKmyJryVO/4Ccih181G8TzOe1rd3B
C9gbWfy9mK0PlI4fk8Tedms9QM4TZRYN87eZkefGuiaXtf8YRvaFY6lgvRB2AF4YXzj22R24aZuN
Ua0RGuKvSbKqg4lABbBU30P3vCg6wPJfg0eE0xHzGKv7JfDOrRd9UNseQj2/Glpd0QCTWzQh+cKC
K+Sp8N3psfX0yxhWJ7WMcdHV/EWZ+CWVb+GsCo+G7yZN33VgLnqtvkZqea8pawvkgNcC8MkdwZPN
dDQfW1GRTCKBhxjHyPeurh4hmd6OPbldw6HMQSEEmCYB1TMaWIsyBAGLyIdhNXv0jkRzc4XkA1o/
AriCL/6VFDE/SDLG+4E3gBBGb8fMgvAmOQfzoLM0sWem4Dp5aXvpHU1zVw/spPsuODg7H9gkVaGr
UeQ9OplDnQhdSA+tbjyVyy4acWj6Db6auOCosb2WLNk31XgXeyNgvQ6REJIOB027HKkkUMB1fQoi
XqMOmjkQ4hXFg6dPLcE8Gh0AEMBCK/NZTVdI89wKfBRbxfQmiX4AGHiHsN+JywSWQCAPVKrn1tJj
6i9dVq/xs5VD5rX8i1EA/byA5PUaqCwaY4rMZipwsK0vnRz6gmO/LpP+KxlHUzRmfiap7XM8FNNc
GjLswql+dCRwO5DzwFN89dka0uaV6m+oSy81Bf5j3YLZIgrK5DLNu4Ut6pLMgMyJ1AznWhXkZZ0e
Z4tjuA718mpLUGee6csi1AasYy2/jnWRNNVzaP0GV2CV7LDWCkqnMUcc1B46YzE0Zdb9cfEDxDKV
d7WF7mhH1gI5r7BYCbl3kxQ71w1rkQTtbdUFOITIEqN7DjE3g69bBuS1hpCxXWuPNDwT91l7IOwJ
1w8qMbvQLbJA+BdTZtQXBCg/PYjrEHDpp169b6lJr725ue2de0RKKckiQwSQeYEjuh0exGheG7q2
WeVOTK1nOqYNUsQLEEik/pGNoblm7jMw+juEvatZ2fumJzd2kqiwOlusOIzDdFpy34PIEnXIesux
9tCtCxCm1n6C24dausxB0SzJawUQHf4W6loFTTpQGMKwzCw+WxgKmcGgg7yR9AW77gC1A/Xh1MTv
1mcUo42CqsCGfAUGEEaRGce9WKezLcMpDzR/iMXyKquIowDFvBA7INLTc7Athg7HGP7qICro2WJ5
tNGARJnsds0i5mKoq2DXdZHGolNYEiy+aXQld2opb1UTdjkdyyVPIBiXJb2oPn1MS3oMF8fyuMPx
Prrmoez7W6Skhz23rHmBOQ1Cf56uCVrKfGy2hR3Jr4BGbBZPM+Km6UxzOBdvS6fibKTVfpq7Mzb0
B0fVdBy8FnGEYLzv6RRkFSiVCYGQA1j3TZAOUcbH6qlkqI3LmOb10FwbMd0Dde2yADNsyio0iAJr
f9fxBo+dpscoluy4duMbysrNuNPwOjpUybEcSM5X8olMCc4LoSugq+Qe6cq3OMTaHpoEcHHLSN4s
kJu6cu1uPTgqmVbDi8/aMse4AfhQbgHSHMCHEgw8l8KeDXjA28vKA3hk1duYVl9VjwtpLru9sxxD
hvCRo25vdT6HIdqIxeN7OKl4TxHaPYXhfEw5RRhZ0BqLBgNrRozsEK6+n3Em5lYyeF4RmhgMe+Q5
gFxcbpgRVIxIQ4M8m6rrnqxzAePyxpFQIZSSzDn35jkjdfwcWXdAhPRHpLZytP9YfPw4Q+VLHNsK
liDQ6njsrkERDbdJtN7g/Ed8Ht4FRpWdbNNrJEqCDaH11AtYuuZk1uE5DLDwmy78Shy92Mr+mIdm
n5byGYe9d1XFpstw/qPa5pekGp7StT6GxGAiFogtROgBUjgKuhaRlGTL6KmJAg7T0VQESfJeAcAr
Wq2Qdlb9uneKPfhlO+yiSFAEc5du1/fIgSEzUp487V5jgovBiinYgyF7WrqkzlhJzhXnr1omBa8x
CGmR/UENCo9P+jtVT2h/4GzuiB+99xhqBFarQlQSJpcc4jtvjL8o6IRl3yzHlYef0psT7LHwpoIA
UWe2dJiQkIDVtZgpgKLb4fKTvt0GAaTopv1vMSzmlNbVDuO52gyGmikwjYwXErpDHhP56iH9Ulcz
UuFVKfNh6q+qqcFbbfUBeRbkQUMErEevPkpuF8zTAFvn2QD4ZFB2OdqlZgdv/4fgZAFZz/V+8sFz
q3aawF+7HBnUbVeNv7ZQfjPOyyhvB/Ik9Pys01RlXZXmGHAGj8qHmT0ym3OjhiKg4hGs94CmyZ5G
Ppq89dJn2o13vJnTPDR24xjhdwwx1lM42f3CEUAK6u5EUDlhQUovnwPzBq7xbglwnuPdwhEij0OM
Vn8dqo+5n3LSx5+xR55IiPkHSZtMsGxqqJ8tcqVN8D45fYXxLHPmkujdTMlhYBgN1nH/XHZhV6Qr
7O4lrr/ytjX5sOggZ4gUoF3do3/1GL9GYUBhQ8IF8kd57iPt5z2SA7dBpU7loPE1Vn/jJIJrOcsn
XzNooiN5SIDGZgEmRtB0/rqg5spisfaZ7VW3Gyz8MUyd4FlbD3g5dECOctZ0pxS9YoO6YwxkUZ0g
zoV194m7CCMsNiNxyutw703jSz9h6Qrt3ze80zmuhZswruyuiyQ8rbp/jCt8RhjBAHZWLNindXez
UN3tdUzPPrPvsnUm9yv7dVgE9qDRe16b6ry45imgpC1mgy018d6mCYgtQz44S20yF8DJr3uj950H
4dpzGDyV9hCsbCw/UtTGoDGhYCzdx9pqZGYhbHG9noIAw+6kLCBjPfdTX+cGVR4S5agzB1yZIp2T
g2oqPMkxOXiL/owFSrpELd/CFjUf2u+8auTLCGuwhOEt6u61ZPWbtCNAx+HcVtYveLtAketwUobD
0Q3JwyL83RJtibpBPS4G6jZNTylGY0CIucPIo9xVcARcKHaibHaVnq41Yt5jhRxdBPnlbKTv8oEn
QX3fdGv84lQVs9uBRBP+ILLwOx2L8zHqyX8Y+t8inNuQs38vI9+oH+r9zx3o9qDfO1DMJ03R3aVw
vSL0E9u9+X5RkcHWByFEZqCxwWZw/aMJBVFKoQxug7d+Io3/04PiXhNw1X7efyD1fqrPf6UHpX9u
QTF1D96M72PSJCAnsFG/tqCDGjBQQGBW0wCtgh2HesaEqii5+NAPMamNk5Ksu7pXM0zbETmitIAP
TMvCYYQAsjFe69vHOfZ5+jkzc9SkC8vXvm6lB7Cga8gVXrTBxD440/4ORQfhdxRj8jBcZKACe6A/
BsuI+SARlnHeYFpBJXAUJpsL73Aw55h0kYLv0G5MVrjf1SCOYGewzhrE4bNwwbCp44CEIqZwtDhs
42Fu9IXTZhyQVHE4rTjOa8hxLC681Y7kI4ID/5tb8/8dzY284H+VX24+Olz7uBvev7j8/1mAYRjX
gBtZQYf5bTrr3y9/ChMFWCzGugLFDTZ/+ffLH84LOGp4u7+tixCyze8aDAwW3AxtE182nPcv6C/w
0/5Jf9nQ8Gjj6hATgU6KOyJjaf568SeN5awNOLn4pMGlVvk5bJCPcob9UEewFcfQ20e+3GvH2+bg
Vb1+SHVL7oNkIqCwEtUlD5ynLctSjA0pUEboryWrEveOlgZ1vyhbVEqOHuQAYcQEbEULg4rZYJLt
AdDf5vvODIOdKowA6Um6137w0vW1986Hps2HYOn3SiRNMYN0zCaO1IBV+N4wGSiOy0B/B5jnZ8g1
s2IVU3Seu+QsJaJuc6hPkQAwZ0ZyGIPxrYUegmYaUj1CCAEMEwQMiLvBjNw0a5NoJ1I63bLO20Z+
SL7D1hMetHMCxkYP1LBeYNcw+LMurXeMB2sWlLrfreFcwHo1dxgeFWbABZtvE4vco+9/rQCbZYbU
t9XARQGW8l6uaItRMd84TyIqMleXuerfTTXvY4a+HCOMIDZP0bxL2LIecG5X5y4hURaF1XKqnfF2
JhrQN2CC05yxxYPU2rMA+cieXFCIuCyCyiwBtKGYpOeBYjpvPanlfmUyQU8OUGWZPDRzQhzTmvC8
JIh3QH9Yqz0h8O0xfKlr4MdLjOnUJcqLNUiQBlpg6BSGJURnErpGkqVI5D1G+LUH2Au9t8OF3Z0w
42U6tEZV5zIm7KaiM4AWm5Y3dYwHdzf+MJb3/ii+YSZWlIkufuUIrGezaYKdT9NvNQbR7Erbf6Jq
a3NL+HVTClBk0l0ar1YoldpPsUbFgJD5xbXU5W1CMYlMszpPoVplZIpPehqScxAh4DJJ94g9Fx9T
2x6owL9SzXJ/iUYEyn8qi6DEZjwB+1Nz1NMc0BsMMyNnFya5r8ImvIsiA9hSI2zumQyx+TzARKCi
l429Bu7noe/S4QV+XbzX4KivYqpUQZQ6KL2pAWwdD6Fovm+JFOshXQN1w5znpQ0zYAz+PqIlu60h
W5I2/REQcx3L9l6N43NJwhvTJ+BaA9LfOmBrJxBDqMnUetx0sqxFCufJkyVG7bAPS5arqkmuKppc
O6HSXYLhc8PidrFaMX+JXZjrrqMW2ulEriK/um4F43k1RuVNx3pTANrDuB/BHzELh58G0Zy0nI71
gA+JYbJbP2/MFIC/LKjZKx+RobdxdVkmjDtcOkDgxE4t5jcOuR83p9RGO6b1a6vBR6jazxX7xDgO
bC3tHkNH9j0m13jAy/Y8QJQLqRjRy1My0at0XvLZBxombAThYGmeWeNdAjo+x5OH8w+MbXwpkYQ7
Y67tZz/4D9E6npKRFSGmVMUYDJd7YrmKCObqTdOriMMDANKd4RxzuSJ2Z+rugangR4oZZFnbhB8g
hB8o5KYCLMYNYgZ7UtO8x2eMkX5VTtHD8XaCF+X1YCPb99W5JwzYbBFTkieAq3erWi4tq7NE8k2o
OgKUzbGR1lsZet92y63DnN1gdaeu3Bw8wPIrOaxjfUxiL0eM8xibZU8w/gQ7UfUeM7BjpD+SMc1r
KFquV5eu92CzeOrgY8IBxCV+F9imqCZ+XDxWtIpcT5PDbK3qdRghrNZLjrFOn3Dz8xJjoWnq5aVt
PnTzocrxYbHoaBlcIg+A6dy9RENSGADTPsXvQJIL8+UuyJZgdFa8p8gxR3x5oEv61EiQJmnToDWf
vUNLdZ5i3k628W4IPu5Z+t/sncly28i2RX/lxZvDgTYBDN6EJNiqIdVLE4SsBn2X6PH1b8FV5bJl
lx01r8mNG2XLEEEg8+Q5e68NDqiKwN2G65EzDzSWlXAGFwR0uMNath0m+aBqzX6ynGshygdcBldB
N57a7BVg6FulqiFdFjrjRrSORLmu/XGVBObsalgGRnhitHpedMYVVON3TWkYYDHbAvpWqupWcbut
UytrlWl8bBVnjaXdSn5T23cxbVul5yvdoVbbNa/iRe06a82o94Y/ckHGvSU3bMjrFVDeHMSE/tK3
xQP/lLkecCGPtYl6MoZubQMHGnPa53m9zB3lQGdnNym2V4wA+jqZrEOFTSIs/WqJqwSfm7A3etPd
Z23+1EByHkt7BzTVK0PTXxaN3OaOtVMH9NwQljda3D30Ur0vZHxVKNrGN4d15LfcO9cLEMXajcXT
aW8Yop7yIj2UE1pKpb1OI3vrDP6lb0y73Mz2na+dh+CDF3kbrUEnHUtf3fGCAZJ2TrF0zwxteCxF
Cu4JuyC1+q0vxamW9WVeW1ftgE7C0errdm67cc6FEAT7w0rPUguZlVOhokiDczkvVFPxMCbNQZfW
poR3hCIA0Cayon4uevKDX+a3shz3ml4cFPoIl4qPJTDA/HZd18CI4P3tpaoupr7Hppiw8cR0L8Rt
3GT2DlR4NPf1HxkbLXQzoRsNGC3SXkWGorapHuBl7KjaLllvI0+VCd7W+gDFjPcyhXs7qdpjCEt9
7RrJTSYbOEgDPntDO8aJE4NYw8ZY4NnXHXvrQ27rdSUDoVTQYJRLO+iheoz6Kkljzwrz4xCITewP
e0bLr6WCCLuOnxtpLUr2P96AGrxIZ3ttC+ojVOBKUyEkDRA9RJ+rAXV1pzivXWet60jdBABjInXw
sBiy/tTxQJt5Wg9ZfqAxeJCNdVNYiIMlzfyc4r6JkqUS9so+102e9ZT3FCupVuxSpTmflP6xluVL
60gviLED+emAeAx/Zaay/X1zmvu9EutLhYhtTECVBTlBSOf3FWKDVUCSHKpcqtk2AuNdJFcKmodf
X4Q6t/xbyPNHGWpoAgelAQuU0cT3F4E0qILx1pTLwfks+03fPg7Fe2Cssu5PsRdspZ9Dk39W8H57
pfk3+WbgWPi06CafK+nORWjOcm/0e9OuEHdx+xQVYvnrD4aF7scPxtsET8gk3OHjB9OdonX8tAiO
nfLUtIcqeMnTl19f4mefiGqZYpnLzFDa7z+RL+xBdccyPNINi/sNrjkvDfH7BpsIIYTe/Aac/5NP
xKiRQwsjYnMmDH9/uS4XtT6qTXQkFWIRGZwyg02Z/OYzzWPfD8/Ddxf5MBaucapZwuciscS+Is9i
N1z9+q797mPMf/7Nc9A1U4MIhSvI8lz05TJhtmBHv7kIQt9ffowPX02ZjEnZZXV0HBRjEVpLNzqa
ERQ4+9GKlqK+1OkG//uPpaszYMsSLlF9H5oZCWEcEQ3o6GhXp0oN0KbsbP/931/DwINCeDPPAUia
728dvXpFOJ2Mj3kdekyY7LxY9untry/ys1tHCAoOaUOjO/QR3l/0oW1H0RDz/Tzm4izkpIjgauH6
13F7MLsKWMzp11ecn6mPz9y3V/zwZWGHcWWpjfFRxbne1fcGBdSvr/ADe9lEQmnPonGSWgTv64fF
py5M3FmDlh3jM4AKOzbP82JpedYpvLKWuRetnaWy/vU1f/acf/upPlwy7Jiq0fSMj51A/YOWV3dZ
FIrtr6/y83tnckvYOUl5/fBIiEkTdpPRoPUrdwmM02GQ8OsrzHf/47djQtmgF0hbEPf89w9dWeu0
fWslPtocfUdHp9p8iswAJET8m8/yszv27ZU+LHCciBki2iI+atZb6Jws/7qafrO8/fwSaG7AL/Em
2R8etUhLOsecguSY55cWzb9h9gO34jeb6s9eIR62r1f58NUnEmHLGHCVKHlJlVkU70lzbSVgLJuj
kkAM+8139MPH0lWI4sAGcH0COTE/lAq6izAhs4v02HQbxt1YHqvp6tePwQ8P2odLzM3cb5btvAu4
oWGVHnvmWsgxV2Ns/ea2/fwSX3LpKXjos31/iXgYMiXlpHWs0xdl2ok++s0FfniU+QzoqQEyWDTe
0FZ/fwGWTpuglSk7UudlrbUM410UU5i6b1/u1X9d2Rkc+c8DCYI9nrs3+Vz/2JWdf/CvocQsbZ/j
0iAcGCr/w5P0tSurMq+wUK+7Gro5XqCvXVnD+WSp/JAq3Lmj+x2M0v5E4YqwHbTlHAiiin/TmTXm
/u43Cx5xGg6rKfk14ktjGEzb909JHjgYRDunuFSxYGxL/MDMeB1MYf2htbtx2bd6fTa0erFBiIW6
cmiPeWxifc2zz9LUi1Wt1FvUo5bnGpKzdC+MRWyG1RLTLYMEBV1K2DgKVhIxYQQasmMVuPehNSHA
Bb+2HNTpAMH5TFrm1ilcOgIKbaWxpL0bFExwnfNJjvAEGKFvEXvsgwwJU2Ja+8nhNBaY9rnQzdvA
KpmNR86JWWGyymWEpl4+64g2AOUGd13G7LUnUAHj0Dz97aZzkdv3gw9pGunbg5sW92LoDm6infV2
eqNY2XnjUK4BFb7NJWk6igYc3u8P9mRe5Xm81gLlUY+GZUCYFvJ9G2JneVbaxYPuiAsjzIADWcOm
G5DW8lA8Nymi2HyY7UV240ViChfAJlKETmg7Rr8a6bDlrYeaZCQfILuUPdKpPDC2RahHKHjai35O
+QqmXtvAdlvHokJm3sVQ58hSUvTpaPjiRW/Km6Qd172DgdIIOFmaYj2G2S4CNA3xrj6K1r4NKz/w
SnN8EBGN46i3yhUKTRpKeVSsjWisV7lubxo5nSTShrUWpvtBS9/CKQNU3Oi3gqkyYGX0VqJwLzma
6hepb28HJ7iuLsxwJ9D2E0pwECN0P9K51pHdwcKsgAg3U+w1Bsu2bJ2HUOBibqu5R15EG8inSNSy
4gUwUrGKG+RKeqUB1gERjG5ibMZthJJrQeLTZymNN9vS33DaB9ugMi9mvPLQVQGRGF3mxWNq3hlW
AkmeHZw2TQRtkTmwJXappcEsD9fSCRCGg7P3xmHQaaiJceN8IWXmVtt4faecorJ/RUbSyyUd6Bhg
VLWZaHUD8qj2plLpywolvitmdbdOZFvO7ANlmrPVZ/F+gZwN0PoNvLpVV2eeOlNCeHR5jtz7wuiM
ZTjbALB0V17kBoOX2C3TZmDCWHQxDiCDAclnpVduR2CM7hsL4kB2uSvO/K7W0ARgQEiDmPcCUYjn
xCUK99moAIBRXSuzeUGF2HwY8TOQyvVizAaHBqeDM1se5nAQejZ8lrChO6JM6NWxsWGRmC6Lgjcl
nu0ToOOOPn6KMFPVVTlbLAReizQXTw3ei7o4RaZZLiS2DAep0m4QxcXgQ1iECbV39eLVrFO8A5g6
MjMrPTupk5UyKMmqnL0fvTU7XiorWM3tSqT58fSkz2YRzmDxrsZAEhX0NSufx6DL/OdxdpnoY3Xu
z76THAPKUJrbXAsVPOjhnRIkb0nLK6PnNHLIcFjXLpjc2c/ikv8Bdjq9IYbj3Z1NL8HAc2fMPpgi
DzxzmCqC76Z56lPlZ4o+WOcaDholyqqLoQNrj9Iw9mx38lcDrW3oX8wvAomqIey7cxpzDvYQlAyp
G12HkqfZMgNtJ1NEh6bPNw7snsiYcToVfingyEASq7MOdyReIKOSLc59XqxwooXHZIGwi9k81I0N
PK0K6SasRHAL4T4hG4IxWXXKTOOQ4kFSffXGnyXuIKxoViN6N6ZpYBJUSBlfloMmHxLXqnsPbZSI
l3UbH9q2g37SAALTcW/4OSycqAbZGITmfxClP0QKBtXvP9cE18/5/5w/N28/mdTOP/i1JtA/qRSu
QtDaIL5r5rJ+rQmI7tKRCFi2S4sKpN/fNQFcVmQI8wRVME79khL216TW/qRBUGGM+2ct8a9qgu8L
UyoCAsN0psgWZFjdBhH3fUVQt31bZfAPECcfJS3yEUnbNzfl+Mdx6luK148nBpo6+PatWZPB0ftD
ZSrYo43WbttLVIFQOu8UFWbfqTa3mn/suwsiMX99vS/6jm+qnLnx9/0V59/om3peHxwZEUkBGArh
1YIhaOPiRCnAmhZBUZ96WTjYiazyQiSWv6jFWsRj5VX+4FtekzW2h1lKPA26q+8EpFQWndJcaTXe
F8MJz6wivQNplyxLqb52SvLuDsrDXHkXGm1VuzAZqwQUR5hhsBvooeNJvHa0zqJgayZiUzNcWVuW
bWDWjYqNPw5wVMBFLWzZMuydaEqA6L5WegddWXRFxXZA/VIQ94kKtvL5lggXyqBWL6AGrMwR7rbo
T/68GjPjw3enHbvQWFCa7HK1jfBMBQegiywnyq1UtGDR5U/dZBwHO9x29lR7GlzrqDE3ZkkoZoQn
JxRFv1ZKWW+Isjgv0Ihc23BXJIL8GdNUzMQmAbopnhlO1RecE0JE/kObIZu6TAPzrMEwcJFnE7CV
ukGezVr2OcE+J0R/rpigCe1oNyQ9FnP/QlGTi3ES91qKQq5CH88yPodTRi8of15TpbC83jLP2QP2
BFasuqQ8a/yeFvm4G43oqE7VMverVTSMZz3YfxrYxaqZoKcGVn+oO/WeSZZnmgUt8ny6tZDfQr4Y
maC3+TFPmk3r9BfJlOzVIrEXQ4nZKYGtSJMf5R5ed5XJburVsX1bNZicYwV5rZ6V7a5t+2aT+np9
cqJqPEtJd1sDVjik2aur9Jdm6FzVrdRIw2QCj62MkJZs76fRsc2V677LmfHwtRQwZpzIXdhZ82qH
7YQ2Oz7hUfTcNsNQMmgrVxcrE0xH01J+1Kh7RG9uetmtVQRDjXAWmaauiqK4nnLzmPmEQPYDoBgC
gbqrYQyvhM8OhR+VbJ8HVELLwbbkTakqxjKO5HsOFT3z3Y3RY7GY/HSB42dJL+FNhVGZ492gbKHy
tN0dYSpiaRiRJ2C1a35wDKPu3LTQK1rZZlAtL7XJlxn8Q10z6bc63K4NBn7lgrPPSu+VHa/taQTA
jKya0bcBvKNyjTtT1kudN2RZzTROxkPjNoGzwqaar8sowGw+Kvuknm7qskc3kTYXkSxI0lBXcYzQ
tvVjd9k6+rPbxs+x7ZCHmbIPx2SO9LWkwK77bGn5nfNHR+e/gzD4iF9seudv8uXt9cdT8PxTX3c8
TsEW+5P1d7jC1x1P+6QTsUf6GofP2Q727Y4nGAmxHXFARp4+Q3H/2vHEJ47AZNDjGyN2Vf139C/w
Yz+cgiFpMDpx4Fbqs3zw+/3BUPSeCJwkudRUFNF7t4lKdRl1mancO6wBqJCFzMZlW8XVSZuV8Hq2
m2S2HXY71Qfflc/VIFqMxrlD3kAWWtTdaIYpD+qQFuGDHzCIE02eLEYmOEsiRi7Bj8YrK4bmVeoW
XuM+uyqS8XJQ0o7Gvf4MGQZ9rkwOpTodyYBBrefLOyxpm9JCcNE6ZB6o/aso7avSKPgHjKncBoMF
ANYpWGJdAIbxe1dI3cviDDGFpgqv7Jvk1kcrrZgGhaA6NssEg7RT+Kc+izmqEiK2DQRgpkE6206U
RC4kyOaF/mjCUkdqAduaGjIFYlZ1Hlt7vCX2LfVciZXBKnzhZVX40OLcXeVWmQAcw206lSrHkzDH
ZqAYCsW/aMIthFVmwVUJfHeh28q4GFIl3YIGLz18Bdam1rT0oFZ5cIW9fbgXnQwWhQ0utR4i6zJy
4MAGWqRdwOHeV4OpH8McVUxej7gLKqxBmEzqdViQv8MBgkvrsXPvuxWhy7oxgfslz27sNJRDQ0L4
QaxJTkpoIA9OKelbZO5YB/wOeRXtTVsR+PETJFZrvU+I64QD+VmrDHPVUkzYVRyfhxzOW99Bwwyk
Nswx9pjBtFat7GTGLoigL8gkQyZvaYG3uU7OClUNVplNnkKTJEvEqex7ynmt4MYKCdy2yhSFcr4v
dfmoK8lZ3OPYrvTsxgjC3mtC58XEHagH8446EMQRNnZytOIRs43B6TK+yKwwns41S4V4mPToSueF
2sRHn4zhrs04sA4+4/dB6I6XTcHLNNB/9HHzMnVGKlRkcvYn5iG6J+uFA7DkWKMmONSaemUQ49xq
DUr68TaYwz3GJrcQjNCOwPBtLHDyXDSiz1aOahVbJcA6gUreGyL+Zsy/G6I5sJkkEnM0O48tNyEc
Dpr6yO6xUgcVV0iveom0sGiWSb1X1eYgoqFbIkfSvSjFG6Zm+pMYNKhbY3GN7J1p/ohhwM+BHVUE
RBOnAYUEKilnM/st84PXtHBSPN4p7pYRQzUdfgIqafGTmaKpsJbbeiSFTkP+xOTeXTs8+nhdg1Wu
QrJc+VbDTENBGdVDzKIZtcd6Vtx8WTb/2z9Ujhj/fGiCxowH7sf9Y/6pr/uH9slGE8CSiR8Hqhsn
hq/7h/4JJofKPIjp9xeE7F/aVsOFqsRa/o2J+Ov+QdoPATwQawmy4mjA1vIv9K2cij7uH8wjcMmB
buJXcGCVfL9/EHGO6UfgYEtA14y7SRSZ8Zmau/EvSQ5DOgYNUtG3jj+DvNrwejQDc5HAKqXX1uIP
9QXOqLRKvNZtzFVtZepW7dkgnAGPYtsVz9o4wQW3ouepqodVZoT1StaCwjIguM2Pj3FFXFbgN16Z
1Xg5HSK7nHECKueCnSTNx4fJk5CqoeBLDRGsrELRHNq8dBeaHd13mjhFRr4RKZaxYljl3bSJKhwx
jPWofePiNGFcLUSxo2tkLaIUAYOOdHLpYqUFNzc9u7E8CcHu0YK6AwigH3W1Sc9bcyrW5PTlKx15
AhGZ1bvhB89w25tlhripGd/odFqr0aq8Wem7SjN8KLp5X+YI6uC/lWxlBKPSjmZ2XrKYGwXd6Qk3
8lLrhoMx4SXU5fSG/GHd4onV3H6j2XBsS3zLRu1JKn/wf6wdJOMAAJ8FeeS29vAPXHUByvMsh402
WUi92sBHPWc3ENejG2cGqaVpuc0gqw1FfJNCWmua/MQR7xDiSCIYjHg5FviOr7SdIW3qEMl80yia
s3ZEudes7DOTa3Zm2z9TO/eMsEfsjgAQxZ4OvzzhAS39J5xVge7VRhHkJ2VqxnKTaUDZAjVRH0Dn
4p0SXfKiWwY0QY4gkd6+EEWy5lwdLHuHP47a/o2CvF7GBHEssm7YNmN4Yea+49FuH9dVE773CqaC
2BkfqaRummk4aZ32ZMiSA870GHWUy8KqDc8OzNdIH/a9GoxPaVglCzDKSF+xaTJN6haWCpPCkieU
eVtbOsoZ0bQ3Y8THgncMYCZwLv0BdyYpQDAerFUbNlhWE+F6jRjV7WS/a3FhkuvY3HUNoX5ZaeJa
JWQyCVxjYykRmbGk75aatZIEgiyVInwJkmpapu04rZ0e6k08Bhs0rI8R0uGC1wapXD5woMdWZNcT
6A8kUxoBdkOPCo7ElOPoKw+yUYmBMTTAfPGt5YcBEZ26DfoF8AaZv0TSbVF12SBVin1Oy4wtmJNr
xRYSiuS9DpvLMjOfuxoiZIrWJRnjC0dXD+XcCaAHfshJO12AOOiWMcQMGWKtiJuuRx1Lkl0T0vHT
3fQ5T5zHyS68LEWXVwePRmKU15OCI0oJnVmead3aSng9wPFR3f6hCs1oV4bubhqqgx845cEv6gcB
fJIqFkaX2IWGc6m49SlUxVtpThdZJrdJwbM5CTJGSi1vV4QFX3Ud8EbyFYM22sg4dL0E0diCt0c8
1V29C/W4vfIdRA9Rnq4BpB5EUyd/dGD+29pmJ9E/b21zP3DxJvNn+fpT+8b8039tcZr5SSMm2Jn3
jy+kjL+3OPCADooHwdDPtHH1f9MUtPgTXEuQkDE4f9nHvm5xxieHhuEcWwcvn3bbv2oKIoH4sMUJ
DJ2GBTeK5qSKE/5DW9AdLKXE2BFeKIBEV1aXNZ4zjcZOdEgkGOWN2aKpGik5REDSWYIaJr/O76s6
vh3jJPbcCYX1RS51c5VXcPxV8o7U7oQ7vRifW83UcG4GA2QoeAZpF+s0s/C6GMOKdHKfkZ+tVdNO
pecU1JumVNLw2mnYoaRFqsQiV2wEx1MwxTdZkXa3JocffZkSYHcd4qRGjhLH4bosoReQ0VtvKTXR
W1utfZdryFwXI+/rXZm5vIeGVU7j0sxpFy4ViOFLXlPnaCRdid2wih+xcdLCcnER8A6l/iWFQeAs
UieOzqca5+gStg6QAycS/tIt9F0eqNkyM+L2nKjt7MIWeXfFHhl6El+Jye6QM9hUMGO2aeU86dTz
RL02bjEh+m0Fzmgnsmwaa6l9xdZSTMupyaJtKu3pJdMJBA8DkxbcclQrS+rr1rXi0l+YRpsUO6cz
mo0l+UJqemFK99hEUtO8pPM7z4zxSOQeijd/Et6kk3YKW6tnhuBiDnf4a2Mpg42tNhPy3S5+Mty8
Prl2ba/jVGggCIEb3hDAeuEatGGOhcLdPOZK0KleQJxrtgz8oq1YXgiAv3QiPX5MoDTeDG4LzR4H
eMJBMFejdKsaOaJxxSn9eFdRgA/7zMbV8SZ6J3gjkdHecC7zQWaERUWQhU7HSwGgmynSXiVOVD+w
wJaSMHWFbYw5zn9F+Rfkzyw4+eeV60j+4c+kDfNP/bVizdIGfGMsLnPf5nvij/YJSyXdFJYtuKZz
EMPfhjNKZFjrpo2K9A/W6V9NHXI7aW1YLhOQP+Ml/kVRjvrsw4plmbZOq2fu6WApMD7qhEwizzBJ
jtqlldL32HJAhTznVMl57KdLc6JJG073EDEZNDfppkeWoEQh+b0zLqcINq7PADNKhlsJsdMzCgpc
dlLXVA+tHyxFNhDWVpPEvbVi5bEIgr0fENIWXGqxG5wXEZHTwhpdZuvTQDyZ6FkYp9fURBc3zl5v
XDmP+Dtp9RpKszb75nEqsm2vUwQbVneM+sbwKsJl+HP1MHXDOFcY56YK2QEc8F2uMDDOpPoWlfV7
P+mvjlKCHGuTEErMcJ05A2DiwXzsR+VeTuS9MOeETicAwU/uRS7G8QBR+Aqy6+yvoa8y+HBHCXni
/9TvsDdN/iKZSB1Ic534H5jGNAh8CjbC2wnHK4wXNXmwxmNIeDeQN8LgerkVrCdAjRu56g34+cgT
cCCAdDWMZlViE93J2mjcZy0yWYKigQ4aYT6kZgx5skURV8E+ZDVuzKH0AL72C9b7AX63k64JXEt2
ht6hPRC4sUkW7ZtTOFaw5adUnrrCiDdtiWCztFNu1Uz4qedhd1jBc8/yhE5WJR6KSYKVbemImNIE
J11Q6TRtaC0Ax5El7/rWRtj9eMInbGKFieko990y5OSzd9OJ/Swxo3PfUuNV77b1PkRuvxkkmNgc
J2y9qvDyUs0Z1GhJ+667hbOpAArRx4Yjpwnlcwc5jTmMy2lnxrJrFYPjqFZo2FHDgZG2EET00BNL
HlVJiDjJg/WSeL706BhB4mmMcheJMkaeq+WMZ1K49ElXWxuw42/ZoLkb4u5x/EolPUJuCvbcOUQ4
RNs9OwU2En2M1K2vomesVWWmqoKUMbSGNGPNBmKR4Sr+XI4IrosaqWBt1RDXHEUeervoD0Hfyo0b
ovnGMESIdyNSjy8P4lVtveMKIxVlDDHPmMYG9isIDHXKjE3sluFCOo75Wc0wHmDUxHY1w92DTDLb
AcLi+UGvQXTiYESKU5t+5p0L9jLW1W0/JXnjhfhqVG8wnGHtdpaM31PSxbZsUfqJAG8oEo5dH0Bj
qfJglNFSqsMNqDzOkirjNtCCybpIq7tR4cSkTj72SrcvvDokTqyrH5Wguk+LnBgmYgW9MJswiGa0
wWIVooI9xndaXnC6rqOn0cWSqIdBeDa2Dua+ktjYqT0B6XFgxuCqxqRa7dxWvIVp9wSweN0HTgiS
UHnv46YmvCx6pP25T830YWAGujFqRSw5cc+LiHvOrdi1ifte8J4qM/m2yZwb1bGOlRbuORLZi1wW
F8giX3Th3nepMqzIMgRVIJ0dVrhtMdXX9eTeMorz0Ztk4bJqZ6A6XP7Ij8aNAa9wSUoWNArcID08
XemEV4EqyaYJ/HLRQkY4WOr0PMQorPpc30Iu3Cc2m7fBhG6AfThiEedNoRlIlaIt8NrgaMrd6DPU
y/xJJE28DYwughjK2HKAZLMnEMRamKKoFybHYbe2WLPUNveEUR0hRF6LOWUgnvMGgpzkgWHOIEjm
NAJ7ziUYFVxi5cCa5Bd9cMo02Dg1r8upnV+eaU43kPNFmznxIPYjdwM9KrpKA/IQwJl3C1aYdlPP
aQmKNbib0iRBYZqzFHC5kaow5ysMc9KCD0BsFc3pC+6cwyCk9Q78eYJwM+1QYlyqRDZQwp0hos08
o1d1ZmPkOhhzwkMyZz2EtkXqw5z/YM5JELogEyIu6ZTMKRH+nBehz8kRDhzHbTinSehzrgQ8Gyqh
kBj1cU6dUCtf25CtG5ysOZMCcg36qJicCiWmpYkohwnknGKRZyliHLtv/yt1/hBt6AyOflXqPL+8
yR/7j/NPfVvqqLrJ9odsgZ4h86Ov/UdKHcckGxodn/VHku6fpQ79RyxAzKfUWeSgqTPW+K9SB2+9
Rvo3rny8LV+ief9NqeP+oOLklDf7fubxlT57Gb7vP3Zj35mNafeXDRlsQH2S+6Ibr+yi67zUDS4z
rYpfYIDnUMiMG6Mx4mVnKP61Y/fvSqiudSTEi8lQpkXgVJ6ap0yQbd6QSPqfZYC9dkhtueja/Mp0
02CjuoW/6Tv/3MnokoWl/Rms37Xopvswa+gMpg2W4hJoThFm28Qu90ZZI3ewQzRtbr4mXfWaa636
Br4RY+hwpbcjkQtOGy85jJw3CQwgQa8Pt/VrXDvnpvRPqjlchkG9LWytXHQ4O/VQVdeUfR1y026G
/xRUSvQebZ33BG/c0g8IcUUJYADc2KkmOsq+1LYaO9DabYhOTKLG8VoGFp6R+BuRpHJRGBlU99K8
AVnInMddtaSft2XNoIppxDLKaO1qBPU1OWsIcrk7y33NClYhHWJqne3trnloVaLESppxHMKiDoAZ
A3TRteHCGsa3Ti12nWavbUPB3q6Gd4EGggYE4zJ10mphSiSt0bSNdRvLvn1hm8EyKOQdh6vPiBsO
DB42SjKtaGwvq1rbtX5y0kcjXwSWuHK4Q35ks9YVct2n6YU03SsRqZ+TYUJEpqIsoMNO39PubzPd
fIwd90IvbYjIXW6uy1bDMTTYBy12blAQ5pyl1Dt6gyl7QXyYDP+2HOQF8plDIBPmKmn6Zirh09Ap
N6XRng3hcNW4Yq0K5aFV4pfURTFvWSOQujKwFxPzF0+n/QtW+FptQZ9UpnvO13TWIy8C2r/yzXet
tDz0HDkV2rRGTFsDiIquixAT84wkUwN7M8W2tZB58WTkgvN4PYtqhmez7Xm+qAXQ1DBkBVl7xtn8
1eeJdKWRrdApb7RU7FsxbgvRoNFBkqOHxo3FlC+ATb+gxXDUVJKb0TkMK2KnKFoUUN5KiI9/NJDW
qG5yFzfcpClnhmmF9MHNTL9qROm5ZYbhOZOuhzMVbiIGzwuykUhTeiSHCUmt8ZhhOC3m6WoYgLyf
GvMWfWN4Gnvp7vwkRYdk18OGAR2zshZ+XVtpsTfOlWmklO9W3DfuWa9VNKD90I9HREn0RW87q6Cm
srrBqbFCU5xe575Bn1sJjLsI+KNnau015ieqm9GkzCfw2e07Wq7QliAubIAlgg3WHGeF/zLdR4S1
eBkWXwbFxmPRWTGeRV63NOSRznto5eEgKfRxryOPXAWOO1w77M+LIgwvh3B6hVCxgELhrKKoWqsI
TNokw/c4aMQ3kw3PcT1Yp7Z9MZjmoqFUm1TnPrKQvTiorqDjrEXT7GCPzSwEcIbFEU7muuwoBSal
PsC4Ixmia/ZmmAcXKSezxBTX3F1tQ61xUcfyOFTtrQtUUhoovwO//1wL8w5E8UOm2syA8U7HKZFB
VTVNaxwXd1ZIPVRMFEuOoV30fucuck4ueONToI7Thv9KQMtsm6ga67FURMlhEX+LkbyPUOnK2L4r
qwikoflZ1vh71cy+FI27Fy05VWaF6MqoeiqlJlCWqq99Vof4ytHzM768auHGTBObxL6FotbzhhgN
uZ1O6MFXW4lJMVdIJqjek2pVNLxMI68e8vOLOtR3dQCSNQqbq7hlFdC1PeKqA/PrM2gqOIxdu1mk
PZ1lUnNdpMMZo3eb6bRJfo3nJ82bEk4EdLtVvG6gBy7Kks6c7yogldtxq+fafgr8Z2XMzsJkulVG
Q0euPr4oRFhcjwgB0MX3WxTEOXBCF0RnUL2gxWZAKtVyWWT5beSIQ1iWL9HEPAUGQwYlT26VXL8F
N5EtfQ5psHb99dii0nZ88h9Ev7Mz0J++aIlgZXcomxdX7yn4spRnrc7a3lqkaqBIbN3zoRW7Qu6h
razx8je1+6RndWOf/9f8+dL8mQuYf66IVm/p/1wQ0Y4R6A1vajPuXv/vf/8opeYf/FoUGZ/wGVIM
sUB8CQT9pigySeejtGFU60K3nF0vf/V/0L6CEbXgpELdopFMC/zPogjgluEQs4B6TRgWrt9/lVpj
fej+mI6Gt8b9YoA0TMxi35dEjQ+tMp1y/ZiT4KQm0ZkdALvsxt9pS7/Mdr+zDM72OpPt06AZiXD3
w4UURnUEmiX9ESdWsmsC1TE9oCFw5+g7FzokX6W3iWlqikt3bM+qpOQlkO2yhK6/RHbTIHXQkkMn
LXdFGKe6NEY2C9rMiBJ7+fD/7J3HkuTItW1/5f0AaHBoTAMIhI7UcgLLzMqC1hpff5dXvya7+5K8
xjlnNHaJrBBwP2eLNXV17RVOjDYpSXxxlz/U/IVwW/JbvnMoOXZJN2CjNb6jjJGnM8ZAeXNODcBs
N1WpwhfdyrPE2tMFWgahNQbcdHt/WCGwdNnMxsR4URz74hoDRkuhv8ZGTlXBbD7gnb9XipkCa/Pa
JypfOtnSYlG02bojj8signkvcBQ5OaczXZCa1L6Gsb8zlTWYjOHFddpvbCrvUbG8tTJBklHT5+dL
cmu24cmyiyTgaru33LDddTFwbb1tnyor2icOd588jk94vz7LKc6CsVBrH7WB+rJqrpmRJU4OD38g
+vVdFLSorEZ6YziUpUmfrQIWvLGy98GmraNjIzdjnqwEt+Jm2Jmuhs8JMHJPOoMfVE+o8i+hGmrm
g7LUuVf0jcNz9N3tCW8gQgzscTbdYFB2CGfCkRewukspex5+OgsxGnoFLso4oOyVIBMb9HFhL1dt
ogqXig841CIJMpHfNnmcBhSw7tbCuNCTSUuyMHbuyGsbT0x5sHdGv27c95IJkGb7e1YTi6+v3XNi
QVaIOheoTk/HxTQchJmNfqurX2pOq1M0Lc95kpi7WV9vtJlFURenIwUb7Q+Raz+0KUf3nsUeNvaB
7ZZABJ92sCXviszxZ7uyzrZO6YeVl19rWr/Gdhd7BVW4yM8cHI2d7adB39ncFzW28aDj3HbLR4ym
U4NqdDHHzUdJjUYbrI7SL6CQgC0Jdc64Ay8aos3emJrSV+0pEDRSsfpq52Oem6SFF9rApCHV0H9M
qntITBGMKwkaumbq8TmjlQqa3SRozDK5e/jDLBI/S7WDTgREAIbsZT7IaT4wUdyLTPl2KELdNAij
FZ9G+IXj4xx1PYsY+imnTByUwoTESIOw0+JJUIAZUolB3Uk3JpK0O71ZKa3Pc1RfokQNva6eMW4Q
0TC6c51m/th3+2nqX9eQJc1MId6YqhQIVBRQ8ZXVy+wWKfeUK8phzdmOsTCKuQItIELH5Ic1oZOl
U8p+ZBD3cW/tZqq4M+wVkI/oHqG6Zmq3AFwOMe7BrFf2i2WzklHfV5NKdXabHYbX99x4GCdkrGE4
1riYc1mZRc2nFpDVoWAMc/Gqbyfd2I8avmkRYxNY63Gn22kfqIKyqWg03ktDYH+rJj9UkO2Mqd4N
orxZqumtrVIIj4vx3Peqc4FIZTSPVTp6kcMotsc2L/L/6zH652U9Xxo5CRv4D8hBMoZIr+cfHfpd
1+H+Xazldlo8e2PswuP8UF0Oab9RPsoXtkIHgCmb8IQFYPDTnX74wwH3TyIJHGN/DgjIv16SxSmH
1EjMyh/vDwGBNhzMUbGG9Xa0P+rw4Ko0l87vSlX8tmP5l70g/+zv0Qguy7QGeq76l7A0vVVUY83j
ektBVjx3G6YoNzpQtPh//D1/Pv1+ezmligIciasfrR1//vc0hNPMQcTqrWWeWusGiyif35d//5r9
ElD+fPLxqv3hH/OXv2RgAu+0TL5oQfeMnW877tUfDq7yTXUp+Ixt7tstbNhA2z9dHT/fXMdLEjx3
23B7lx6nzb7123Pv8wt9irr8avv8738+Tb6Yf/35JAfcphKf7sO/JqDzgemlXFRxS+fwlRXCVr2I
F5biZN68wV82xzexm71rE0x7k8LiE+6iOxp3gmmTe79+lP/6H3AV/JuL5Nvw+fG/75Dy9/z9Dgne
ixOclgqCTSAQ/2jsE3/D0sC2Dfqg81sG+h+LNTpBCA8RUPqr6wFjH62tfJWpZ5Ii4n8EDqHs8k8f
IRmGsukjsgwKB3gyCbnC++NzIe/xDs3VrN70afUauiX6UKZTtqoMRAsdUd+ZgJX2A6fhVRqJg6qi
27LvjGMrqTpTSf9+gvX93MqiK8PBgtdN1m4EnZQ7c31pV8WrR5Vp2PniKANBUEx73RpCf2UgchmM
ErsmfplEu6FjkVS6S+HZk/E0MU4ZSVw+NlE0AKCvv5DLT9VQP7WCRjGj4EZjMZblcj6r5KSGrrSf
5ewWrVVc3qk61I/UMG4V3TqF1oRHa+KwKyYlZCPA9TTPG8xT/Yc9RF9h4UyBtpRI+0vdHJzSZYau
lHtizfmt25NoKawYS4COmBAutu2HCd35EZAwWu2RCGfQrq2r/+gS6y42m6vTc02s4+w10fTHvnK5
zaXaN9faeRuu0VM7UlLSdIfBQkUqVrGn7uOHqmal7IXcZ+58V6rppcOVXpTRKV3dR5HWgBdWCUXR
1EfAk6z+eBP6uO491vIlbkXzYxm62evs7tVBASQ2k4hNY1r+ZKi3Tm4IPw6TuwRY1EYpJmc6Lgt3
Z0o5f6rSKGeVV2dNTiOY5IOedveDxU1spgp6Qw6g82yLli4LQJpd574NtEHGlvDEla7G5tTFc5IR
b29pAZNsaleDUp0TGduMVnrAZe5eIlDWWjOqG1Sm6E5hLt6sickIzAWnWbSfeWUuFiRyycVONfea
x7Cyy7LFAp0Ro+3NIgvKnO1TBPErxr7tqeC2J8ndRoSBNrGA6JBM7k5Ux6HVrnVVk83RV4qPEoOr
mmR5C1PZpZLuPYL5tsB9g4IevJaywEaLS3+VFDKYkSS2uerBrlifbYo9RVh9FhQHDIyDR9gbd0Ii
xuNlO4AcHwhNkWm1Wk/tW9xCLMRqqzjOFDgaAMsXkd1gVmFSkVEvFai5CtzcLCgVYA1MG6dio79H
Jj+2dg5rrcMoMgwscGQaVlXvC8DpDCW7JkvvE4Dq1pC/TWr7aUrSushER8MedattNvitNbHhBcxu
Ory4pqEcUZGMnSXp7QNXbRrf7bPaiC/IXhDeQb3XujZsRlEHNRWGoK9R5pZ5PGRIjd5YqmTyp8+Y
1xo5i8mstGCHVVr9qpf1xWXBbDlVkMbgIhwt/OrVKbBbSRXJp4bAVVV5GRVDMywZb3FZV5eL+aOf
zMtEGe2mcNJzE9I0n9RF5mWa5I13706KDMV2RWTrs1C6O34+ulMNnO6TeyGsT5+ANvjROk6+K7KL
0xDZGFb1vnP196V3a/qapR91Vuajki3KoSomeu7BOYxZ82DQ2RzX2b1jlaaH35GuXUMPu0No86es
bWzu6UHdtmHD9UtX8kNRaHepCkwF54XlNcyYLJ7pxisqPsSLA5iZue8mraivQ2/NoS5T+TpHcLk1
Vd2goX857NL/e87+/70Ld5t/vbDZ5v/Pr1o4m//7sJU3zN8PWwrSZQO5ioOeCVVz2FT8QcWCwkUP
NBKJwJ3DOfyPw5ZdjcGGR0OuYqHDf/qHisW9ndSUKRzZbcJy6D9Qsaim+eth6/DnMAEAe+LOyp/7
58O2iUJMhmKEswloZ5KgvRHVWWHFRP1p194qq8TxMZS+mgYPdtdEMultlBQH2d7rlLFkb7lAE1qZ
hVQ4f5QO2H6L8dmrMTwGK8JYUCQrvetUG3u9MVRkfN0RLQWAYApJcJBIQX12YvzC9pMLbZDprQys
FYKkDYmQi3fEctk+9Mn8EsoN65jWD20VA2lSEncvVJr3DAZOPDtKMVwrymKlsVxs1DYVwWKyTa8h
I+Y8svCurF4FM5G+irew145ICd0p5mqgjlEeRMRoPWpw8UnO5qfVZsq+lzjGdjaXwK3mb6uyvsnO
pX4n4Y1dM17cWX8ttYrY0JBXG9C3H9oY38US/ciP+eWWxU1mQmPXR5vWR6tCocBPveWKv8t4iO/M
2vqAmB5EVX5XhHQrYOH8tnJACRmNlVVe71B8ftCMdT9ZWbRXXXpACzgT22xaVz9NFGs7KPMNTab6
Jom05yR0LqMe0vSgiWoTSQ5MWVPsm5a0Qo3TQbf690JQNNzoBI4Hp7tZV2M6Oery7OTp5NzO3RSd
637GeZMzerrnGDFklapISBcICVxcStVsJxuYafOuSGiEaZLUPdRSW9Ez7Qk2OtttqbtoTow/NNPf
VpVW12LjusPjYOXRFVN/fVx/qTexku1J122nVL0XNGEwzDt4S6lE2WRq8iyrUjahFIRwbKW+HuGo
qa169s2K0nBFqW4jupI3FpqSZqmPtkIMbEqBmQ4sIFGfjKHkJV4KP0znl9pMfth6cQ4R9zellK6m
tsdxogwfhpS1UkN/U7T8nTWWuREoX4trEM5CC9NUilakOAYqOVCkXNasTrCUmT8jpVGsfbZC+yKk
xuYgthVr+VOV6hvBQKwNUpGrMw7UEZEOS9Ir6HE6Yub7PO7PC2Ie/TvvPWMpyzjQMmgOEE+uKvLf
jAy4TEgJTag9RwUKYdyGjyGSIZEqSKNaZAR6zX4oQ1ikT/QtRGik+Gjd5FGekr3iwmQjR9LJfj+1
6TWqIXqHLihae7yZhHGvSyWz4BLWIm1CivIMxzlGQGAHazrVSKDR0j/LtWBUmtfRMG9ATu11JNNa
5eTNuuXVxJizSyOy9RlGUY/HHGCFBkeZu1Rgq+cx8cakfW2RamFqXTJdO8SouIOUc0cl1L1Gnw61
lHr5wKobXMb3OEM+aykL21IgXi1np/Wpvs2leBxKGVmTgnLlEiKREnNaF+kB5I83d2BCpRQtn7g8
pURFrnG8rQZujPgN1WBAw47UhbgCqQqVl4Bn0p2+WJd0cL8YRWSiwXoirHrRjSb1dCmRj6Tm/Eo+
4tp49cdIfdDQ03MprGtSYu8afGrCzPcFDTNCyvCRFOQtPm/DGj0Qbv20pWQfac4lG+NwF0WKErAn
vyeG2eIuQepfNPtTS2zMZtIGYCBvLtIYUCRUGfAkDbJk+Nn2KwWJDYYiDMWPpTQWDOSIvupYuVrS
dFB1PCOS5GWKx5vWjfeF6fxcWTVte0qUKDFWvYw+bLgtnUm4n7tD8VJEih1dVg0zXY/REunSPJlO
++hK7mcrCaDrWr1Xa+JuMY3pCGfrK3odBumx+7R6pfHWoaX3Mr/GoEV1EKMzqFEhmaN62R7zVdtS
+Jxvh968AzF6GVyF9mZJLE1BlzogTFWFPv9WUk3NKVTZmA2POsDTJFSPeZU+p8jKZLYcEh7AUV0J
SW2W58Kc7uopveXzwIswD08FWNXVpLaFxGBOgKrc0aM1sCjsH0pgrMIi0Aic1VDnpxLuZGiYtxbw
1tplRnP4H7Pkuto5zm+ywhxyFk68RPJfS1XrUYMZWJJ6X4KIbdN+pSSg47Fj4UWTHFlTEmXBysKW
pfB8XaHNKtl0KH/xZyWJFnKAdmglndaVnNpKEmsztcUbISm20cw6XnJt/7v9+CWjGf92+/FQEer5
J1cy+bt+v5JpAs+zzl7BpkzVpAnuD1cygKqq5ei2Yemc1fI//X4lox6OXypjGA4heGoQ/3glU7k8
qaQaf4tKGv/JlUw4cu36jxXar/2HLTMkqtyKUgjzl/0HBM60NQZtuQEH3t7a6VLcJ6K2X6vc0I7L
lGVvi+jtwOlH9TItJA/IEcS+MEdGQ3fqH2K1ynes4ZKThWloayt9uy2TBqRZo17zPHa5IIjwbDKv
3elzz+8facxBm+LxqlZs3hXHPc4aannXx/1e1Hr2xRey3KXlFNLvhYLe1t38XkAyP1JDsm4MeTZr
pboQH3Rqb2mXZ1drvDjXP5awsPGAENDrK2U6lRkUg7aCCDDDj8DjpN7QS1NthoRItmsRf6P7hG0M
X7vK1ft2owLWgGiZpt/1ImSjVln4OAmin3Zav8VzFG7XcPSSrD5CbXYlBBGU5+risMGpfhuJ6FXN
lmMy6G1g1CWro0bdJmqv7HorWrm6DvqRALy9pb/rJBQWIHSwuL4ax8Yuy0tjO2pauLcEnFpAjNmx
KTgbw2q8W1uy+zXYagL2eD0U09zSQ17Rw+peU4rQODd4dZRBie+TCVmsSIS46bBV+4s91Ycm7o6D
lr43tc3kmcMO0Rwr3YqoxuDcrL0XjrxhyiRaEPGZioIo9qlB85bCCmI2oXH0Gf3z61B/jFWUXube
+FYyFhU0A8OOJqDrQyhi3I0e0M3ucJbpm2yed9qYP2u/nC2Gi+LZavnN2IjbSnOe1aizvRxWbK2o
O0LneFQbvEE1f49lgc7NRyPCcWXSnV8Wp04X36ZZDQEu+4cxJlnSsTYhXg5StyjUGztyGRuq3aib
53R2LzWIgVhQAbPmEXby0GLRlQZrlNwUa9JT1IBDzMCXheRyMZfarzPlyaGNzV9n42SFxFfWIXwv
tPZTx5Pju8TxGeh3bGieGhcRb8ZCBgyYA7kvtaW4NpkJ4Zc88vBlOBQfCt1s4yCs5rM7gTjZooJm
Z2E1LSUCS14dieDr5Aba+RxB5fxN6fjvKlplXPzXI3LQfnf/7GEsf9fvD2PhAKSmWotlNMlw1WB0
/vt8TFcnuUpG4L+Xb/3+MLb/RvKcIDnvmmwql6Pz7/Ox+TfcEa6wqbn6bR39nzyMbVv768PYxYjp
WqZjC0IyHAF/no+zIhcuz0j7Ssr2GPXNWF76SVtgERZjXdN+kQxYlqYOjGJcRPNz5YK38CswAjF3
9Pht1ruHIm4WP+5KunD6YddMkY/4iBwLH9Kv8MjxqIPITOMDtybYB0THGr9czatwgYSx4HyraCop
i+wFjIXI7nq7jh/wb+/daQZ1GUq8SIc1MlFAzpQOjuWx2UJyit6Wuo9vwzBOrNs4X+xbs3RQmA2S
2DppMGgXvhkWavlo2YoehFwap22Hcawn2NXFyfPAVISZNZteMs2N2c9l1T6J0xS7ktpeptQ4ToN5
bxKGI39SPqtr/gj6la1dXH9psirUimEz9RjZ2j7lcql/xmUK60Axrtag0f45Pw887j2d6VwZFV8p
uI9FsiHTqGvhOws2rq5kAyaM+IVCRgdxPKOz0HzInOkGPBEhdiX5obn2YzEY36qRJtuu4EUxnf7O
1nlmRTRU7jGXga0ECvIOnZOhZUr2KieE30h/QZE7j00utKAq2XWXeq/QWqTtY6KG5Ti2fjElBz2G
zGkWsYwDQGrr2IpvtbTJucUt+Gy1u1AarFY9pj/U0PZ0yghPc7LJc6ExH5YR/qYyqD/UyvWdoSs8
koch7ZPdrijdjyiuOKdtHqjk6xNHAfy2ug92yDLPjTuAJcoPLGlBrs6HOgTK2+KHG8PWr9vV2hcl
KN4urH9yuJICTahKGZTia4rd2R8XUDCuCVfFHe29JfcwfLzuDByNSB/VtSdDxRAf3uYu3pGowo4R
C8C/EMQHxpsN1EfTS8lreHze/NisXodUY5sb9ceed7DvhsCEQLybTcpbLLWptjRfHYqRQp3GfBFd
f+WEeQRZlXmJ2j0XUXwfG3Hi1+qwE5GlHLhB65sxbu8XO3xUJ/VubQa+IiKpfY56LLpJspC3CG+H
cN0veagQ/lK+2kYBN2pQdLOYTAyrgO08DQXWSLPbkc6lI85Y1mNVswhdqiWoHHPy6qGE/jPSANYY
05kC1x85ZM1kcHIqHZKLldbtJlHt01INAqu1TAdQ8iD4AviGSD+w2E3B4vY3bmu8jri3Pb7qmKCX
wvLiQf9ZLDSGwRG8H9ba6webcoOG8iB75mpUEh/ts/FJo9Z6rxh8OkM5X3d58p0v2sqkYr+ak/mg
Ydw4jFWG1abVDuzsdB+J7hyPChWjBs4YtTCMYGrSmySyfEvJ7ot8vFJNo+B0sQVbj2ybFC4FNWUT
WDnLnQlHKTZfUmxNaT1yao40qqo/Q814V/X8i+TxoZl0hq6Isz5UtG+jU55pWHO9oiiei6nXoH8N
D8vSi11iFW/VYpxMpVroFCP8j9RjG7N1p6dObdMyAdRniRtO59KvNLPhW24TcDGbiwU8ZbtmrLrG
9bPVtbfGcfW9q9IhULv27TqMpe9Qr+MbLakTKp3BCsfLV7iwCFdtrrNln3sOoBT8vtWyGews5Vmr
v9eW8UBPoONNsUOx7BBOPvHelAwIIkuZqNeRctktVpbvccVWXpqM+ak2+mNY2fssK10PSzKL8qGh
wkFlfTYZE3ZLvsmiM/S9Gk7mNZkpxBm7ZsbnpcWs+pv7CUrGcXGoFBbriKG9JC3tJEEf6YufUAdE
305cX6gZOiwFF5ZypjqErr2tZmMTn3U+rXWbfllwIDekb9etWYZBZOjL3irb5lDVRpDRP+zHqFuB
47CF43m47gDEv7eOGZStsoumcFexP7mLlcSiAYrauqWbULH6wg1oq6K+wlzCO6vU6sBuxKGJ9HNq
J5QmF6mzY2kZ+RPIEa6Yy3KMh+FHBn81QLbTj1pNTIEwNijoOSoJClLVt04F7w2ZxsCkHnqjsGnZ
RLTQbcx+POgFBR6kJOiLMMdTlLvH0F1PSrLSRERCOAiz9a4tQj+K7QdHsa3z2rF2o2BPWtYgGQ3x
Y6nhtsqIfge1zlA8xEoLdaj/spqCTjxSprvZwbW3iKj3kIlmcEDxbZ9gMkQT8jMiFru6Xk/0vpzD
XPex+d6OLRlDPZV4eRbGm8Rur2S0v5yy+My7kO2w7cpLrWJyuTaPle4s29CK8NqsDaY6dXoWQ/ZR
Zcot3PSHLFIwGWMt2aatQA406u+cWo2oUGGy6walMInBH5lopT/l6lsN8WYzDsk1dAe6nUHI+1PT
gocKs1PpUDKTzmn0DIvNpw72jUGHPRJfXTsvfrZF/waBA6N7f61/WcD64isEObEVLn4st8ifh8rB
4Jhg8NIU5W5VEaqVPLmIGjN3VWWnvOUmYnCmmhiHPSHENz71vT2EZydcCiiPy5E2FBdGPOk/s3wp
lvY6lyhK1lLAsCZnwRt6bDpxMilQVGrn5zSzy7NYZ5cNoIEu/cbxGHRD1e86u952kKKpKFOe1VQ9
r9GpSFkcDTZVx5msAvyMOx6+I7nHtLUh+VIbYPYg6joLFnE3sUbLeHsK1qYpe/h55fOchBo7Ss34
1lWqPvF+PiRpxC/mAT4W4py0udgQ+GI5ztdux83tnRvYAZx40HDT2ei9BZCMKPxQJzdW42xCQM9C
5w+v5wqySHrKkBB2etF/GaSPIxuhuqZ2mOgh1cvls9A58Nwy2pmxKOAJ63gMkqd2ovSQTEriKXVz
WyfueWGNSk1Ccz8oZGbt1BRYIYvdUM0sCbV0awniEax6aCouigjuF1+dcpXVCi374bGR1aAlvUDc
OzdOnmxhy8rbQ3uw9fg4LenPWJhJEE0Ocm26q9Zdh6lAc8BWlr6Yz46SPRJ5xOdqGIWnOuaOGkbK
BGwuMvr6qeMdsKbo07GSs6FBj4LUFfNmNR9VpRE+1qbU5CAe2xNfn8dI1uexTHtmy0A9mVSZ262z
16N8r1X5AZSXHzp6fVf+KuRTy8SiKxqMl/ISj1Wl0lBWdu0Ro+ME/zCZRmck/Tkqy93Cu1OqZqL4
RohlLlrBXvqOmx2riZXsnCl825R2t7oR29VKCRSGer/MlClIjMo3ChTkcMQD4mChLx2CxuMSiW2u
pU96Wz5MhjUHWNh+Nmn7YiS2iTNe8C9N+gAX/yG2jY+6nG/nhDxkbBPRiJO+8Lh3dV6WGQ0bR+k7
YEvNcUKFHc1oOEU40nj/5HvH3RyJehO58bnB4LHJqZ+de/s69smNO9hn4VgkF+CGCXfxO9c4i3Xh
dlPVn5wtC31MjN+l89QlCaaIQf1mT1GSpaEzY6EG0xiHW+r5yWHH1O8wSmy410y+FZY/2qlgAxIr
nklVUNB01tlo8nstG6H50aRvFhV+lSJkkMUbupgcdmbX7YeRb3Sq8Rcy6HqZASyvE3hVu5WSjjrd
1Rq3XSTq96yBgRjfZDU0ULKh06wfTCLiWGvGq9KV+Cfq/qYw0x/1gtMhArk9Lcm1itSr6S5BXo5X
A54guomCNt+2SnQkYfWSTdGhj5O33u6farfCG0l+2Gl3s2U/YAWl660Am6i9J+TBXNLXgV5Eh3Wx
10M65O/8gE+x3LPa3AW3MTmVE0+FdwNh+6VYR8LRTXqa4wz0wZhW3lKsl2lc6IO3BNR1FbNmdgeS
+SOrHRgHINDJSLzlcAMTPX4pJgSp/25Xf21XTXpu/vVA/zjQG1eU3/9b8pa/7+8jvfs3JlPUZEsT
1LLJ6pw/jPQWvkByCJr0nUpd+/eR3vmbQbGoowqi1PwSDaH695HexpT2507S/0Dy/o1Y9I/9KnIx
GBsVD5uQrCb915L3j/4yQZ69wGVa3CAZHNkTb4wR3XHOMNtgsQlG00J1CfOLUedZQKHGXmUoSPhS
xINyKPOUPJd2VwrGJF0ciQp8ZAPCWye/7v1lXsU5co39GlP/lXFb9mI7eqNt+m4Mw2xrFcUH+wt0
NvnICfOh9lbU2FOx5Dh8shjjStGX4ApimuMr51zqxS1BB66ppBQ2q614rZt9cnMJ9FBg8qpukM5S
LtLp6yQgKFeldeOY+EW0gRrlTMAhHqzqB7ozJ+8cE+riYknLKpZsc3HOfW8f9JCKy2X+Xoz1gk74
mYfd47SMACGInVbWcLJM6cQZrRuzso95nzOZxeaTDlaYYp/3KbaCbqQdomV9uplc5xaXOiV51Q3l
v1ds10GtiNAbzCnxUhu3lmiVF1d2XVZr7atmeo5bLnVrvZyoDegPVA8zlXMfDGLLBaCbuu8zZ7M5
DmeDmtVr3dxxMQiKjEWJLW5s0w0Gfb5fBAdKSie33ooPXcRekiuvoxG+YKEIrAH/kjtObJbz4jNZ
hid2nOxkYbYSskqvy8hL12TDnTqHM2sOq3hujIO1dI4clTm59cZm1lKdIJyI7UO1gBs6jGB1oUmS
aQNv2uV+35TPAz9GyH7ayxKFNOrE1JNw1LUOuFx1OTUj70OaYp9IVWbPanHw7Sz6feJUp2kKfxgN
DIrEsh6NyrpXNJvQX2+dXfKujFJ27MU1F9Skje8VMzyYaW/Qg84GYG7SRycsvxw1AfVc3BVx9gNv
+nPkqtzdNAbgiH/Uvg4FOwkl5FJUzZFHk0ugGzI+aIfkO5KMoufBX91ib67ZTjUgBWsk7ssB4LDW
Dd+OCbbEsOQYadevFeUdrqjzc2zyajc5HXS/qjrLmbym3hElIN8iNrjwmUeEW1/WpX1q1owNw+B4
hpqySkgUQV8AUUiAqsMmb6uTShH3WeCrw5nwmlj22TTM+3KsEs9OXDYnYl3ZmqQATKkqCdwFMHel
a+912Tw4I2+8yXJtMderOoREURXh66N579bO/TCFLIJKhpUwPNgZhYYmH/oN5SzBvFJT2lLuwZIo
Q1SfuNClTTt6yrp8RORAPOqzCcbwim56snA9qyo1s7ZiYRISecF1wFIhMmrFlvAIQVXyzvRBRusH
jq+PfrQeWRY8ZrkgRuHcYixjyRGthjdprJX0RHleHKWkKNzeyoRgvIzWkSwneFfBXI5Hnk2Usnzw
vi5HozO3Vc2mmz4w3dcU41ubu0uuKpdZ7TFwwoPeItB8INnuWf6ZXmVRoazaNG8tk21vlrYiJt5M
D8ynFRYcJvsQxULuyfl5RmTqaeATyP//U8tZHCxmHkL+oTrEyZX7hltMV/CRMKwiOVa2/VS3zbXL
qeTDGPxd16z9ubtBQLU2+CgMAh/cRy0Y8yj+7TkU6AolvHHqtohKlfyjs5JPEwagN6PIq6BSeAZH
icNkPrZcuJZoH3LHo3Rw+WgsWvpdHo1GlgSNPigeEs1l7eObTqZLwTqgrCT6w5QWE4ii6rbp1B06
2mO98qysxIOI4MdUq4OkVNkfsKOPtRUfNf5xiLtcykx1eFKg3XlhmshOHLg3rcmHOuvCt9Fa39q+
uWfpAfwG4Bpg+oGOZ9ZtRj881LB/aMXg/dWVynd0yocn5gpZt/JJ1ySPChKasXvDg24XNYCmNaN7
XMLpOdP6l7ZxdD/PhhfDpTtUUIrtq6oWn9YuHf3EAS25xDKrHDXLJhc6bT7pQ2npu7UeKj/MxNuU
0euGshyY5L+hdWfaRq/pA22159G6m7rjGr5OycmI9Tu2CGSp4KEqxVOiF7w1Zb+zyopMOmJJnYtu
r6bWt+BBT7rIvR0T/FCNoYSwyRfcWNaabHM7GfBXG+y4p3NX5/cjuS57znn8JjR9LOKBTcsprsCz
Uxv/YkuqkNr0x6a/jhY+AxMYQmRHtyATEj+v3GSnEUX3zDZ5oXB1l+dtei4VHv+r0l7cxVaCkcRq
oPdzyrJPx0xb46lhb72d6uhoyhx/R86Zxv4qchsSu7q2N+bqm/1zfJnKnl0yZUSm/ZJivdy1fYJ1
qW9WXAEx41zMfZLKGVapkQMkKmFO5/l1DPvVvRF6C6JrVVbG3t44jHZ8zdvYcT4GY1l2q4QYxTXd
DRweaeACpSogHWm1eeBpdLQgIGWOQaVQT7BWIWj1jK2cJ4REJrFo28cwlAyjw1wXq9/6on6HS/TJ
kUNVVTyz6lL8Ag6ThvYHvImvpC4qP5vzr5nc1MaM4p2mYgruQ+pMysh6jeeCNmfBnn1COMQaihSp
EbgeFbpBbesU8WLXn716FEZ4n8GOUsCE0eFv3+j1HMKML0in5eoTLz+nOOypek6PVFnCdW9m3EHg
kp2u8039f9g7j+1GjjXrvkqvnqdWejPoCTxAgAC9meQqVpHpIk2kz3z63kHd0i2VrtRL/z/VSIMS
CZJIRHzmnH28YlOMYKkJm65WiaiUrWx4Llpc6qO4c9gFuMJ5yAOU7BInkTtnexq1TZ2IS8/nhKyc
Efdgde+V9lcO10vLPg7TIY9AQjdtaPWGAw4mi81mLjCa60KlcXkI0guXRXBAUJcXECiQIQojximb
1vWISZ5zX/F1GSvVbrPOVeoX80EMVaX5ZW6Ybwicd16ScjgTFkaR+1wTHjZ6wsM7ra3xBykfONr2
dNMP5m0t+ys+uTvPRAsoCSSr5gYXVCJOg8FVS2RZErZX4HWfnMp4HlSmmUO4WQOTAm1cvxySgG5M
Q3kYEIWWT3qxNNDvztBW7fo0RtGmGkyQ9qSnxSpGzdXcB0hapxlvH/31myBsTeJd5G2fjqAGuh07
9XZdjO4pN3wcgzkHIaFt9NZEQxDjlpXmcSDWravJd4tU0ptLlkc65PnFCvV5FcGUwhNbmyvoUWAO
u6BaDrZpsdYoUGo2LFnYku4alS5X6+mbh7pw6RM851UNCXQ1FLYoaJpjLslUQbF1JQh54FAK2ZKH
2jbIByxiZtjy4XIEZPF71EEHF7zP1o3LfUC1xQKZ4SK9aI+85p927FcJso0A5c/bMVCn7Zf/Woov
9Zc/dmTqS793ZCheTNKPQMk5bEYDlyXmbx2ZyT+ZtEHWJ8lbeQC/d2Seguy4FstZGzvOZ0rE947M
/YUZvWWiT9bpo5A1/50lK1ien5esPizxAJO25eAYs382InpGZHDuOyXJ3Yh+IVqgIxwIux7Hgsty
jIw9H7GNsKY9Tl8opUDyX/LAO+Q9ubpBuy0FlK5O7lNHO88aKC6bqocntDyKxKMRSerHSbef/YBx
qd9M0wK77Lqfsnu3Ds8puM0F8kwkoWXq3YwcShEW3rTS18J3CZNjgaRzHerXs4LlBwqbH6OsX+II
Z2Oot/Qa0PXnlJbGiNhYwd2fQ9ZpgULxo6PMVxp0/hHqDbU++j34Cc4qVhD/vtcfekX1hy4yKMx/
i4126X6i/8kAcFUYQKVaJakCAroehbE+DjABi/RrkAT+elKBAh3lPsVSvGf/Fu5JsXPZFY3rskDH
QaskrhxHG45hglsINgU87Dp9SCRmQU20pApG6bmE9qGSDBbDzEzb7e7rRIJJy+SD60XnShrDAv/0
0R5BjFgy7BZhBei40IQ6RHS55EDmRJbdqargRWdTKTbEtm1pTQ9OYT7maX8bwArDWw9TYx6MnWdJ
7rks+dYb1ikq5muKZwpBD69Ml9bPotWWYUepmiXVsYsRBFfwnuDbdtTkY7ssVcRFU6bWokIYuhKm
i2nVvcnCiQHw0Awrc47WEjvFBjPOV2lyg5h6c21aMAilti31/JhTthuiu7Jw4yxzu6E145kJu+Yi
E5R9fsafRqfyWNvwvpuCkXXK6l5aJ8/BFw8rVltKRlE7siBXWaVt61S7ZGPZnOaM/SrVDAx53701
XfMUVKJc11M/YhGzvaWZwcu2qNBx0rcNqiHE0WII103UQGod402fFqfIDl8n2TNv0/xt1Fjuymn1
R1vK15RedGUwhZhk6678JLrBp300xnw1R+O1bIJvmG6qVd43/A0bdx9JPFez6xzbrjknZSO1m7L0
xPw+jSLbeSxOg6x6BJYogU/2Vyyb7FPRKT1VG7yUmX7bOvU3v5qWtUTwNEcbUrlWVTMQ2KJtat28
KkV8nZTlYUy5rEkI7knTW8km7oCzdcPeDZ2P2dUIIEwxR2+TLvR6tqL9fGe68ymSdQMmKBk2kcq8
GiyX17W3lai3g0cq1kQ81jBbl9p5aVRqVt4FD0VgLARxWrXJuihvnf0A8yWq5ks3m7uwT0iYcLob
YgsWNdFcpomCXEvQW4TEdllNe4QFjajUb7HuJbee4S2pvO5mSEsLV2V/xSoFzKxbPii5V2yDyMDO
rdLCLGLDhMoPkypJzFSZYuUn9aDjySkqlOeFyh7LCSHzCSPz7OKjJJwsVyllZD0+zkV0dIxMYfoY
JTuKZK7XocfyoHrzwREf0TGdaIc5JnT9khNnwKJKGmewd+/W7I1rfR7eu0YJg93xFtZntbeK/tUo
8420Idcn3gmg1SZo8pgWi8+Lbzc2sL3oqYAAvMoGkpz8acv+c6VX9SVICHuhcqWyYagsw+vUa5NV
4ma7spiCg6c5Dz6mSF65X+IMvTdIG9oiAwCdKI1qTX04rqVmnkY+BhevDG6JJduNwgZbJHpU9Qy0
TPokSjA2G47XrvhdKb2zxl4GifwSSyby7cT4wRVijU/hIwq+JpV327TWbcbfhHsAGUVEjgyWx0ve
YrRn4ckRltlsThUbbWakhIZ2G0vpodcV7EFb7VvCt/N9CD6OEx2EE13j3cuQuyT9la0ZxZo3dNo5
5nirzFtGjrYB7QO9m1/sgpE9e+fXJJuyFQg14EnWVQzqVikiXvVmRhyX16hKbNzN9rjRYnlnJoDM
mG0so9jtCFxRtK+o+ZqB5YBlbW1rB8lILyVuQ3wgplnddc54tPUmXWqW3HYMFZysuh7KSuwrYzhH
7XirT+Uaafy0cVzvqpTBTjO04T6ep24zdOZ7FnTjgpAV5jzEZM5itv6xdP1aTym7+p/XU9fv/Zdv
/6GUUl/1WymlY55mGg28jqGIqnz+XUpRZaHLwLhFOQX9Hd3u91IKyrLpIlN3TVOx5A1UZt9LqYDv
h5fLC4h/9NXY+2/MttEo/1xJQfjxsJQhWWOKzE/xe7la2CV4V0CPnpPiYk2AoMxwGhZobR/G2YTt
O5ksgYBh+bO49Sf7De6KtvRotxGRwPec0HEsPGBaTRacLd0qsZC4b0GcnUQXPEL2e0Df8dF10UYq
LlcSeC+iyisWhq4q2eatbubHUtG84J0HmMKs60GX8VK4ur2ADPPoRu7MOMbNmcPJJdpawaLNec6E
9xhN8xuzyWIZAhMbgIoBC7wA5L1OfBidxNLf5eDHSiaX1yFAsnJQ+04QZYafQnwpenIUSn5nTFGc
oEDh9x1wM2rhUC26N0WsPbESBvMOIk95ecGizUqOVHhsnAgxgpkGPI3Zz0b6wl8xb1gYtvGNAcW5
ydj7R6QLEh2RE7qEacWoGoKymXM5qcXnnFSZRQSjbh1ozks+Z+baHUKP00AXBw+BxgoiGdQ3giQQ
rRIxo4BwWNRXAYg4f4A4ZgGNcyf0KnPtPNJ9ymwZJbV9F2AFJzez+4TOjaBb5wdjGCgie6b88crB
1RIzrGp71vgTngSIRZGwVyF8tYXEZeq7aFSaaauLcTcPPWaxJopIxoyICrT7pacw/6FjPNgelwBm
0/cqdZgngrbrIfzMNspat+HBicPuoQU4m4j3OqQ3hVaEnbfZQ0O5GmuPojYtdqWpa+s4qzBPeTjj
FJA+mzhAY/1pst1DXnHi5w6zPMORD2gLb6PcvjWYmKNUgqg2bhngh7vECS0u7HBHkgupv9K6Yv5j
LAKt8vaTxsx2zv1Hra99Qse0zRCYWz3pWbMn7K3DYT8HiK+RsbvEgRWrQIHselltkwT5nu7Nl8IM
N1ZHRqSGyaOuu8dZiCfhmB/szYFNp/JZ98tjEWYP1B4vjPAu7B0T5Or+Livm56amJdHLeBfi/FoK
hD3F2B5yLuqlmc7PfQuX2pBfWnjRxGVfBWmyQtD2gjSvXYXWQNegs2IVtZJK1g8QDftF1TGo0L3s
KkMoVSn4X+u9yIAysu7cU82VOKNGxw7GgEwbt1C5l3nXvaLGuTWZmnoAZCzbOY+VjnnMnc1j6vfY
td3iOGc9RW+0yYpvGSFpQKIw8Cn1UKLkQsp/j376krgOsWFo6QLl0W+95nlWrn0S6L7kysfv6Fm7
1NF7GcTmKA7ovatc/2NJAotVe/cFQACsBS+zH58EoADL1LaGIgcEIATQl+7IeOAxAtSMuIoHMLwX
KcjnEPyAkxLHlPTGPY/xM+UHEe0hykSQBfinvwVcq2vi7C9lyKQ1bwxbAUY9oAEFXDpFP/AVB8Fh
LHaZsuA2Y3GziBUtIexjfY0aYNgUbvA2glTIQCuEBowF8rXDFXIpuAuTxIuQOleV39iXGTgDYgAw
DUjv07uqMJCgUbkQqvEwl+WRrvDNgNJHlMK0I6pTW7eZeY1OlNlchVBzEn6xYYH1jvJwXndenDES
rgQFKvqyqg34CyhEYKpggaFdH2foga1pIEI09jFUwRqWF6wv7PozzSIeQJh+kCipYxDxYo9ScMIp
ilZpnHdM9OzVPxvtz422Mur8+ZW/Fe9F8cfhifqi32584xdm4rZhEzRGIKbSmv8wPGGHrW57w3HY
xsHV+/eNTylArsx3C/e/kXsKUeyzegYbHAAKwuLzd658uCg/X/lAWbCC8z0huoNLVgr2HzBKxdR4
5tj5wdnMmYsiRJqrbf2ZbWVpDE/XTkz25SuWSNw+n0lYTE2KJWO4I8kBx7ogChDgwVuGj3Fiu9ib
bbSZbBvjWmWJUeWAzfsCFPm664MbhNcfghyuJVlUCLzMreYRCtkkqG/lVo+qrV+gmKq0nZaIN6ce
raWXlscoHW4yU2HsSClAwbyDJMOmgRpf7UoSmmnK92kLWvDaRNOXmKwth9gRm06fdmx2gZ9rxlua
QyuXvbOvfe+5sj3SQIevKHxOJJMJnCrA7F8CqLZt6GYLPMXv9eSvMszVizTgWCaPSTId0jaQvYCT
9MZOtuVVnyG0HlqdiClLq4ly8woScpnqEw+sr5pyfkIDfwKbkKOwbbgxMrgqJiL32AYQYVEJ1ZmF
GK2OCKwejC9+BkKsARInbVoUo+xe8jF87dIUHWt5HidaIC0PnU3emBX2wmIPc9hD6gy72ACSttIH
u1+UuV9uq7i3Vp2W5wyMAiho003uZFBI2R+QH/Vtyrn0dJhwKKdCvNuAxayINaHZYc8yjI/W1A5G
3+2HdjqmuA8RwiE17BuPNmfohmNZG8wQbPTmo9tyU4j3XCuGZ97Pq9Z5nXP3ZCfNshfiImQKiyW8
G5q0XdZE5DUrWGIyPmpm0SHMSjJKikoQuuouCDYI5PUYOd5eNL6NhqmPt4nvsw4mNi84mcRtHbys
7LdwTco9fxfGbLaeVIzU/OAuzELAJ2IyRhzWJVuZ3pmYBtSOLVaiG6OtwQnNIopIo6MnREdSrOvv
YN7oz/8ch5/HofWXAp9fw7OKpP0PFkr1lb+diToWSpQ8eOgCvu3vLJQgpEB/ImcmqAaNzw9novuL
anIYN3+PmvmtCXKVYohMLcc1kJ1zJv6dI9Hy/tAFBSYMNt93GGzTUql84x+PxKabHKfPfI1U0zxF
2rDvEyzQhXCZ18IE3WTetNMQeS+5TG/UaFpZ1KvFILHYTLhiKKg5XFjqVuSRLGm0WKYNU4hjxB+Q
ujdvQ47TJx1fK12e2DjuZ8/1j1Uu6rVd4g+srIcoqEkVzFM2L+J2xC3CiMX66hq44T23WYaWfhPo
RPAOfghcGwGjPnofo1I0pkN1lyNx9AzFcc6wYXYaFQUbtWe7q7oVXtBVrjSSKQgqsJfapkC6wunB
yEwpKu0QPnvT5Yf4U27pKOXlPGD2WIWj/Vp9CjPTT5Gm+FWxWapYVWKW9YozSOWvBpWJmJhE1sog
m7VXKa2cyODPJ2vdOyS4ZirKVWW6BngMc5Xy2unpt5bYV4JOmDKrJFirvSYUzGxKD3AEObGEt3D0
ER3rqQxZgzDZVKXKjuyp19NIWmRDlKQbNs1B6sUb7KMUTo6IS30NPoHJn5vb5o38HNOT/LAamN7r
Mc2NRyZPM2b6iobmuQBiQtAJqiic70c2adNS84J14dHNRhXirfK6MfDdYAUU7A9GJ3xmL0HFnbFb
KBmGQRXT96i/qSP5vdd0gSaFcIlOVU1Z+HmeSE5PDj3MdyZgzMV9I2TOOlj5OfT1e9hc9KEVh3zA
5MbOE8IY20EmjyQZm2JdC8IO1sbg47mfbpgn0am4mL1SxYqoK/0uAlAQypoM+No6yyjYaKO5QwF6
46TePhTzNuu7HWKKBiJmdN/6+XkMOEpHU11vPQNLxToj7Td1ur2dp0+OV7JojbfD4D/mGnuNoGZG
10X3VTEf6yG5q/PuOWlB9I8II1IRV0uXTDMwWBai1MEBXImCY/SmIyoBHWoKV0jXpe/piMCl5mfT
pshZsxsAJ2uSYD2TsDI7rybQrbDQ4Yt34gTW+jZ3ZLWfCPQ9Wpp9R3zmW6Gxpm3u684wSDQNbqI4
ZarcIz6dD7VrPOpBOqzSMt02Sb1LJjbJJVFMSZO95l2UUHaQUtJONCCyIg0hStivujNP6PAlCOE+
6PkAzm1m+tCfY4jnpjlclY2G3W5ERe28WZXurogRv5ujWIEwnmQ9KCXTo5C6sdbNaSMLfCZJpl2H
erBN8+K6QyG9iIPirQ/p+qyBeW3EbMXqxZUQ/G9GcIW9r4Upku/9qDv2bXHF/zmzxbIspgA4saie
hLkxElitwMaL/DamPjQB0EYvKTHShYOwqXb0jxkUFxDXlyYYaHB7SKv8CJb/Cu/ghNNNW5ZTu2Jk
sGxba1dH1TP8N5KGcpC07NqPvtnd+oZkujnScNa19Zx09X5oaoyCPT4B38a1E+09z7oxiZJZTnN/
cvqB3Byn2IZF7e+DutrFmcfNnT0xPT1GevPgFZXO3J2FQGyvICGfYhJaMr17ynL7rk54L/Kq/2rn
anBUn5LePI8i7/bRROJEmvQ7YcorGZi3PCSHskPSQibuuQn1DcIKMhu6/jmHp0yrKzZ9o19KMVxp
gXGlkfjCCl7b2xNKzJr9FDaZfB52Q8/8ZM6OUB62rZhv2j5rQTPIk2XVqP15ZH3Yx3kjHvCuv+L6
O9vS2be1/d7YuKxLd0+y4mPfJHeO39yTES8Wjhsi/4z3Xu+/ZXq1N3J8XXNe7vEkHEncPhSzySfM
GE4xXotkLl5HYd0Rz4Gaf2Kkhbl8maIFs9lLFlV1Rqp9lXj+xz+1yWdtovbCf96q7br8rRTf2j92
a+rrfqtMLEVwYCttQd1SOuIfujWbbGqKC8vRrX+l4P2rW4OCbrs4isnQAg/7OYX9XprYat7L2sb7
twv5bwxof6Zt2cjy/ABIpR2Aavd/XnS33TSAEXKGS6cfIqKhptuy2f7wR+Gpn6Ky+K+iyy8lKVfN
//z3r5T13+mbYYrhc+SGYegMjZa67cfqh0LAStOsqS7WAItcxUA10IdjyyysS6wzXFSs7DG7mcvE
9a/jOPae6V7M7IbseOTK7I7Ng+lWy2Ys4RSMSF3E2rWS9ZwY2O+4BqdJXEJHQ72l7aeG7YQs71od
mdUUU7FI73ZMml04ST7i+bih2jRWji0PWjWcNT97E1P2RSNHqquqfSrSZ7BSmGeSmNVHs/ZNsffi
RqLLrT/qzmMVmAwrQTe1TaTN/hcOMiKyYSd7pomdR53k76TVLPn1niNX3+sBiGjSKQ9yLN5Fw9yF
sgceVf4eVjojwrziKtFHfyGbekOG8hHRyrDyC8WhQZOzqDz9bWyKg2Uz6zXs4p7i4xCa5kM90nmY
Sct5NzXLeBq+EnRxmOy62Mi0OhXxOKwC6VkrJyFZNCxrDkWWO55dtiA8rRMxKfDPGutGDKSizX33
rKXWZh5Y7DFbyCEWth+pJ/E6JmYJe6G8FKV95Q21va5sybY4k4Sy6ARUVS0d55iS6ZVUJqKD3keH
WM1PBieVxdu5KDvt1hnQV+amuB/yAMWEn71oskbiOlT7AJnYtWgHA9RjdmAQStKKIW2kUdExar9a
iOCDDpV4PphLe5T4oUTxFM4wKkPpY++MjEPtd/WqJYlv9pyvVQJzaZjqKxb4X321fiSZ9cPPWRxG
wBdWsg3uQat92Mmw1GXynkgUyUZDLJdJAC2lx7KM8ktvNm9GmurL2saEDTZ/L5IM/23fboi2gMtm
QcO2m5YdvqYH6K26Czyhhz4irg8lA9HMca2c4nfR2BLf4cFoJZllLeyaSDa6cxCsyOj99M4kNBoS
E4LFoH/K9BkH2uR+pAjN2c7CbEaXu7Egyy60kMUHyV/s9tKkWnKuPESTvCPShfsjs84RuSqruIwH
Htbxldgenh4WF2t/4O/hefNL5oaw3JktsNJ/t43B3fS1/pBFAldQQeau5icQpVrcotpHq/kvGiuZ
hUucpGcZlIVjCONq7ZFsb65biyzG6pMCjjROhkhQMYgTJyDvnWggbMZVa1Gglg8Z/dremcf04lrD
vZQUaXP1nsPVg5JCBEhZfTNayXQZSyhkJryr2UAufZ2kT7bdroRLUmfjPhbBetxOKNyPecmmR9Nu
6y4N1BREyGQV5oS89+BvNW9EMRZU5bIRDuIOnt/IqiCsk5vZOIBzMaxqHuJSPpsLK66uaQieyZ55
T/RRLjjWSGBC7JkjJeljLAC+/UUbOyqp5JA73UvUkRrEmXNbF8Y6rYzbEgnsYGi30+StXC16NDP3
pfEdCjv9KhiQlXr+ZUL5OTftBnn/Mgymb1ijBA6wdJU1bbbOKdgzaS68pmYci6e2rvprjyirWuKz
IIx3BZNgWJQBprgU1VyoaeeprekrgoyopOYdKs7GlOOT1rw7HU9i73oby049MlZIJQdzFw4M2NJu
0rQ1EhLv0Yv6Ee0IaNE0op9w/KqtrjOLhJzS1u4ICV17PZHFKJY4txZZaVdE9mG62LZTWS99FLfw
A/PHTDabuh2eh0E8IuN40fPautE7Z75w4clNLeQXaTJMrq1vY+iflcYVwmu0KnI8ow6OilUie3+p
pWgZECkE9whkplOUx3dJFL2lZq0th6wTVzW2LAZhLfB3kD5Lu41fCkb62hDfJwnbq8DSDl3fPHdG
OWPqRUccKqB/xc+36BPunmWQcQZ0mnBXTVfNZw3x4b2bYpCeJgIfI8Vp5lPePIVB063s1st3fJr9
lRQt/oK+36GJGhCmg5O1iJ3cklkcM4mqAgIjWMVgeHV2gwiMHXO2i5O1t8QiKyvYNu3V8EwLv6I5
QC3sGveMAZ9rY7yLnNrdB3b3rIIo2QzN4fVfX7u/HzlQOiCwC2wmDi5zWJIHGSD/eOm6OHlM35Td
pfSHtWucU//e5adGVU5W2tNfv9bvqwj1Wkyhkd0ZAKc8BH1qIvzDxLdBQtuayJwuPpvL7FFOm1h7
/P97CfUj/PASg5BCDJ0YLhUfTMLFaYdf7eru/+FFAobgMK6osZTl68cXaeIsg9c0DBervpflcdSu
tX7/1y/xx7eFP9UPL/ETS6vFQxUZ9jhcbNbHcjOToE4VUnhf0un/eCXWAD9Qu/71pvzwSuon+eEv
hgnCyd2WX0aifDcKwBDmocuxKZJtepgJ+/3rX0z94L8v8gCH6Sa5g7plBfBzfv9yrJ3GuW6Ngens
s8Gu2sNlEl9N+T9z0F+VIA4P25/3Gi8oRv/YZ6iv+a3PMH7BSBgosSpvhK2K7B+2QohDdEdHA6J/
Rir9thWClM9bxvmgePm6o+QZ33UgcJAMS7HnfJZGJiudvzMCBQ72u+dDQeTYCeGoVFNVDqTgp61Q
Ww9pgVF6PFdtqC0qH5FpWN+3JrFrqcn0gJSG8p7NqzibbZ7fNV1Y7zTd6HbdHBqQT0aMzyXBvdK2
rsHl6etWkG00eSlSNLdftvAQrmLZvwXdUN2Xk8p2lGK8BBhrwIcU3jLowvLeZndSMzoEyhWsetLk
z2wB8BcMRXQLYBVOI9kg64j4u1VjGA9w58VOCKsjwpi0Y4ZY1uRTOnb1ZrRTc+X2mPpFwlKKELJX
TXcHdhn+I1158iAx251igPkbvBv0CVkxLsFpmufE8MMN9qhgJ+HLnqPBhA2a43IbKi9Y0bsHO6Zh
7SKKQOw1oFnsigBGOrBjJ6dtFmgvg4NJtC27ZUAs9NKJQdN3NpPHSF+bUX/Iau2qL32CG41TWeIP
1NuSHsPtSOHO4lent7+MLtBMmMBPESPm2inEuoojBsVRctfaMOQsocFALtAiulG0y+Ze7jQ3f7ci
StaxcA9ujYS1nTHJwbEgQE5zyD0PWeIXzvzCG82V61Z33HzXtpjegObvLJWkblfWt3BqLti6+2PG
FgY3CrZsOfjXQIbgmIfztVPylrYQdZmdXbLcejOt+mkesq9aCBSHlMFDJsYzchaANjjSkDjTUuId
2dO0OEuWMs2KGPczJxRio9zeufjVyX1CG+lZhLob8UsVzTeEuV6lkiGVNs7aAokomhZMiEuXbHj/
jP0ltd50SFzT3mthd3hxdIVoemb7yGZtJTCoU8A571qTbaD20KpoE4RoJV4h8/Kk9+LQo/KGF03z
R5F8ZNWQQqzDOBPqBgo/B1bE5GQgEA2kItqMxYMVASqaGplnlKERxlQ3xTiYCByF0ZkGxPoAtXOz
mT9y0oR7bWokzgporQMf8KXOk8pI+VYUAGD6xN6PfqBqoFy/L+KwgTFKUFIJ4wZ7Ls1A4OaKRQIj
QoeNOoXv02TuEs139pnj3Ndt+GoWRbv0MhamXnBN6SywzTjuIh86FFnC3Wt+bZ89KsIFo9p2WRmJ
uxlRCPUZWPuwdY46nEHIFVOw1IGa1KJLDmzLrpDqgIApcbkhJILv99wY4Vkbos2ApHRjA8VuJevB
JZbcbUP6E6kF9G9SvMXC2fglPCOTj0mlOIVmnr8idTiMimCYaR75MopqGA/wDUNFOkQ9FR1w+EGh
8sPrXmpkegfu2iTGm/iCnucc/TnrkfFmMhpkukhAD1yX/qJTlEVcYrhQmtLeThFwDV3RGCtZXEWK
zzgpUmOjmI0yNbStrTiOpaxuXBDHmxnEo6ZHz5WWWxczxczD6ZfttcQOluiRDhqCtEixIgE9vUgv
jT4aMJKQ2jr7xgMtOX9CJotP4OTntfEP+c/iQvnz+/Puy9f6S06Q4X+4RdVX/nCL8qmGyuVxWPwh
49l3TbQN//oXvuq7toIgZ/yoOrM0/vN5Vf5wi+oGdzLpQz7B6Cgz/tYtav9BW+F5PotMz+Qy507/
Oc2IiUNBxOg4MMoGmGSjrtxYfZyuVfOde2OLiiwDnQECrX/BeXpVNUSeu2wUF0xsEiUsb1Yg+Yzb
KHLXfNpJzJ24G3F4aFfYTr44oTlfB137PriyWXtpphbp4R32VvfE5yUGFUJnV0Gxu6YfWKdR/NgC
6RvYbG3wfxxQRR/s2vjIxulxiHOIXNlZihqQpbkLQPUpv1wMYMeq2DGxRJsnS6hFWbOMAuKROWDe
U49kG1d7zXrtfehjSZ1A3s04ILQryvybVEuFTNdIfOs7aGwFK0uU5AtcXG9TbGcq5NBYClKYMZWh
H++m8jHOyxvTJRikBCDiTUztZNf29H3bLiLfbe9W1i1LrRNylPeZhnkqLq5RDaBxsuuCPGNmF0+5
tBYhGR5x4dz3DpePnn5MkVKLCfPGV34Tn5gNBjvNA+4VE99nW6HSjsVmbAVJMAEpBrULage42YoJ
n71rfB2kN05DwrapSObSnpdQWedlE6bBGp99QyvK5Uvm3CLXrG1HpPKtQ47fakRmB+yNSYSREBXo
lJp1YliALRERKi5Pho2YVRnljmxftVLfcinuHZ3IvNpqk43dpc6uYxCRPRaRAm6bir2dNgrDLT6R
3KKfl6PlDot+TAbWQP4Hc8vdCMg7blU+42fMavsZuVo7c/INszTploEhgl1iG+HGaeg4PZ1zr1G1
T6SqoErVQ7mqjHxKJHyvI1CZ4DVT1ZOj6qhBVVRaRW1lUmQFxQDMy0FrEWLcUHUYIpIHraMy61Cl
rcdwLra9qtuIKZEMT8zi3CiQlKruLMq8MZ7YImOvXSLNKZfgEcdLoepCX1WIEaVio2pGLzN7xKLx
e2XEI9fhBI43MK41XxWbOmVnroFS8oK229WqJjVrV9xJV8KpLb3iPlO1K3cf8wCbupOytm1dQhOA
F6PQdXajSxZ1B+AfhBhY4baczoMCDWtWDeYnAz7sJKwCWwUknpLQPbQT9JiwWsp4eGT6xpRPYYzL
qGJzbwcT7jNb22taMLxm6YCGYJYhruy22I5VmX3NLKfZiW6QDL78Qzbg3O0VRrlusYmt6hk4M5a8
+mZQwOU4svyT30/XjesR+ik0UvdKYIeQRKlvdX9ctYCUTpo/4zgyMn1BNtO8/uc++nV39JdOyX1e
vdfJF/HHns74wSZpsCBSSYhgvj/VfNwG33s6A4WKDtOG4Q6fEoTf/76NWDihw8deGfCFv5orv/d0
5i88R6BjbVSCv6b1/o3dEWzbn3o6bjXbobMkMBG5HyG/v+/5vVjWxajJ6TRaWKQ3PCIkyFYeQUgf
+jwXDqPzlt4DVR0sy3lXupk6qREqM5FybcgbJoQpnzQAPtu9Ny3AbH+lmm+WZRB+IQ/3DltdjpIW
0becXeAgDlcGvV9zKl33A687E9TcZM9ZNMkGcKC19tjOr1t38Baw2ZwjuuF8rxWiZX0DYXFaolin
30wjQuyhpzMdDI5QP7MrLMDFil5r2tQO24lWIrgQZM0uibbFhgVz99rup0PmoGAv2/AqT0DxZFoA
jwoho8+uhOwvglSnzRh4sRLrw4JiZk/8lIcmZmTCiQOA6FNbexGcjZU7Fgcv7u4NN9YZXkMXg2JW
cQtO2nWdul+BZat4Nc/Y0uJ9zGn6CqoMmLTdGznmUy88VnY6PdR5iwqojjHzWKjX4vS9jWbzhTUG
9FJ4upuesK2V1wjaNZRqkh+3CK6IuTAwBOjawa5G/eiw2NsmsYmHCIH3scbI44sovWOzhZVtutcq
YuxKu0Dz7Zc3ngtqkajeYunrtsu6ga3cnEFWsfUBPeSUaUcjptX0JvKiXvoqAhOrW9lVG05Gu41y
DXwEcpLarc8x711vQg4+TQY7mIUWGcr2l/KdMIsFWnuu/EDCykWlB8Wgncx7zexEsofsjSqjL4Jz
QhyGhNzjIyrC5mSF5wB9EWS1LPjojSA7mkBujSif7+yeuevqn9Pr8/Sy/49q+tPnXXfzH88v9ZU/
VNOOb7Dw9V1kx59gq+/nl2kyXkKExtnh/xTs6OFawikUBB7ea4IRmCR+P7/+l70zaY7b6LL2f+k9
HAAS4xfRm5qLVcXiPG0QlEQm5nn+9f0k9cmWZL3uUK/tlS2ZrAFA5s17z3MOmDedJNpHBvNktMq/
JcszVbvsu54lv+lDpmw7DusY7amP9e27FqkfaKRMExBwzseo2BiTQxipSX2VjvljVAsPU2Xk/I1J
yZMmpNXPdruvbOO9B9hFE5sNF0OKZTC4MyJfvdvJQq5pzdgUjlhFFnmHfkum69iNPw0BilOjZ2za
55QraUu8oUsiChHVk38VVtm9XdMOqQYV4JHMxymZ7qVsMfqMHoNY3IEH52dXabvwAyENR+m9dEKQ
LzIkYAEdg3Xi+9dQwuNihMhj5t5tpAmkR67gzkH7FZfjtNHHfK014w0A9XlUgF+qVZc9Q2FpVVtb
IYA9LGDm1reAIDRnpuLUKFxQtmKb6H4I7tB8nhRSWEjZMwkEMxTwhrBItxQnG0Ie7YVPkmBT19G+
h1E0jNBdMn687GWF0GmW++CDaRyzXagoxzHpwlVaq7J9vgmkIiEVE+kqOjKN0KNlAJN+GV0wMFa6
tHQ9g1TGiq2MFGUpi2g7KO6yUgSmplhMQ1GZjOg2HZimULymANxMFcGJPOkmhl8pmi8mgCeK3XWn
iM9IsZ+h0byG6O2ovxlwWQCisSJFhWJG2ZmYDUKRToonxRVl5wGYIhTA1yczTpViT3VFoUaKR6UX
a25n07yzFKua9NhsA6+WimKF0d4limt1AFx1Rbp6OAkEoK9N0V4NoLBtqm9T0NhCMbJ4bj76FtRs
rvjZQI2yfZDaGbR2qqYnE9QWdPnFUuxtJvqbXtG4BlgurzyuR0DdXhG7HJxA0IzpKlY0bwDW6yu+
txf1J/ys6YbWhrmPAKlfQi1z15Xb+fZ6ysnE0eeNneDlWuPmeSl7zb0oZdFcjw0B0CzxigUTJUu0
7XhA2SRm9rYAe3IZYo67lpDwyRYcpIL62ScifGlN+c5KSl6iQc7fJbt6QLvQ2XzFHt4dWhbO96Is
2EzMaViK0r31KufQGtNbGlbJykjsmzSgF+dgdTxnwEQUEIYfk1/j4CICoPUlnkt/3xbul1H5GwsP
aaLd+w3z2Oa6RcPAg3gKKFRWRJiVeEYB20euhtmatcYuTAE9HtpVAttXxdhjkTrIaRMbwXtaYkxe
T4wHs1Y/92FXLJ3OMlfBnB4qk1TUWXeqnezw1sHlEreliyE2mxXusc8x/sULx2nbY4hS4CSG2n7T
9SC5K7AN36W9N2FCl4bMAf/dnb7W1v+4O+05xf19X1LCq2/7kmEjCUeOBRjr/ZTxQPwDAlvdFP8/
VIeS9luXB/sRB+DGdVx8Ienl8Fff9iX7D5KLXZxC0FAptfhvEjQ/24+gUveFeg/gu4Lc6p9GdyJM
S0P2bnuZJU5InHAarcYiQ7lyPZl4IijONQxmZ22FvR5y7/fJwL4DvEWWE0ftgccswmaj8qJqwvXQ
s7Gi5dRr14CQo1N1LKppKLaGi5aER81Kowbv7iDuOX8HfpG/zDX39pXbdX6dr1y97K3DaNsDEB6e
inHz6s5tPc9kdAVug93uWPOEsbuF9TZuSv8UVnq4l2ONh+EwWPcVTdvEIwir6orEXlhJjJCpGvpD
NOGHTzBDfuliOHZjOMnwSc9tuySqMJSfeqseN2mDOQYmAAXCmQJPAM22NsTWhQQIYMsHrCqmazTB
wR4L6OGU5O5wacS9gvvL92IgXmIxmmb96kXAI2lrmd0yDGwi3zArvDOHCq9iOjrEkKb+tg/TAb2R
xI1wjrapZokbb9ZTllFSGtJOHy08xOFi7LbF+t/Rp8uaRMdN0sUNWT4GlrlNQ5QhYi/xicvU7iqc
jujRlL6x8v3QfBEzphDhPJPUk5id+SmhrX7oqkbuJyCWJ87uYsVYGifxEpnE7GXdueuSz3yl+b7C
4fTWaAB4l7Gueyca5f4COXV4OWWJXMnJji5tUICt76P6Jw/Zu5wrGhBZlTOMmbJ6GYLjfEbQnx7t
IWgeukyF5bB2EpoZmYhUjZTYhJCBxuQzMzLGyrlGfqRtqMybKxHRssM1uDjQNMGVo0kuaMvNKIE1
b1PZ0/g+kCu788pMXowFfW5AZFc70dHQL7KoSQskwqQYtC0HjGry8m0pMTG1cHWiWVmzBc+mH1yk
teY8IKJ6JDPTPJoapRlvP9hoSHpPbDlKbFvr52kOx4vUG+K9jPCspt8WI+4pp5uwhofom6FaT1E3
Msebg01TNY38t+7/OoU2GBv/5y764a3+BZuofubPlRVrXAP3THwgKNI/YJs/K34dpgZq0Ya3wezW
ZT3+trKyfH5IUBUiwzqqVKjfVlaLlZWBts5ZwEF6Ln4ryszlnf1Y8PuoYQz0riaDcANR6k8NC6OU
TN/m9tIlAnyRANmQPBmapHVXlr9FZf3aBHLYVKUd4qY5E3B1kTVeR1qDG5nxc2SS6nAOgwJrJ2C0
MkNUFePFVGp2516VCPuGq3woLwkoi+6wYSfaL8SuhHDBueFIHcYvIrVZxPNJbks9YL2WqH8CCG21
xJvWHG7aj7u1sscaYCLQMmImjdZNm+csJMGxXIxkGOLoLjqniZqNycHFuOAgMhe3cubojSYVjHnd
FvS2fSFBF12s48ceZx5CzuItBqDVeqjwL+gTx1gPY4VFAsHcDyS2dQax6pMzr0XTTbiWmj5QdNoJ
p6KnE2iAdVapEYFRzs6pm2DhV6VZOLe4wwLlEMKAxzzs59Yg0729TURa+2tsCNLzaDqhua1c/pvx
Q/E0D5aPgRJBk1iujmHh7sm7Efq/jcWvj6hSJf3nR/RU5O1b/Tb9vQBSP/ftMTX1P0xD+C6pyWh2
hCpl/nxMjT9816N/CPmDTO/7xEFwOag4FwzDYlz91zOqqh/PB6+DvnMofn7LMoQx298eUjZIepqe
EGjJUZT9+JBmJRv9pFwRMzH3G54TrD1199nFxqxwu0ezde6T+Zrw361ZGWuz8q67Vt4DI+EBKXAo
LhkCVfl0co6kwH4WQ3Kf4V2zwj0z3k51/olCvMV9lr5UFu90SbmEc+nG5iC0DHu8ykzdeNHyvvxk
tDn2zUE6rGMrCjYzubtDBCwcyPoiVx7usTJzx9Sdg93zrLWLVLm9D3gJTdi/E1D1Cjj0NCpfeKcd
T7hm4hSvPONLzOM7njHMDvGTn3TvJVIO81g2BcBYNiAQ9vMoH1905UdPCt0+aHCodzwCZrGs77Gu
99FuT457C9WHImBdKYd7Bvv35Fc9e5G2G7DAb5QXvmuWKx+LowyffINcZzRdOHNEl1an6CTmYfiw
fSnKFrE7PhCVM1z6EdkzRWTuLWJRkeUyR8EY5VZWpxrzzTZ5hoWrFrzFLe4fSFc47qTK3R9fLnz+
leN/YAH1qAyAHsc4BaNt40A7OionoFCJAUHUrYcivimRZjgqU8BS6QKgvShi0i+1yh1ozQZsrNa3
tcokwGz7CuYIRBtjXF3lFoS5eGtVkkFKpEFAtEFjS4yO3PqTrlIPGt05hii9C+IQRifAmIGABDS8
Z0SblxluV05sE8+HmHiQKi+StFUbt41WpS2kKnchV3boklHr0hl67L0SixLQpTUdqcwGnFO52VSO
Q5vNV37rvtqltpcaSQ9dA6CnA1KaEHWDQitdGEsH1nJS0CUxvje5wjBDrhy5zvc2fGalQE1dIZuV
ZuxTrziVsJw9TGcI21kqyBP7wQCADPCzUAjopGDQBCq0V3go7iyPnQJGZ4WORjCkgYJJk37cZQov
rSUZRvPEPA/EWcC9Y3zuvXM9Dlibni3gwwRIiNEiOVK4AZe9x/wSkCgGKEqJ7UTWdyoUaTSDHOE9
e9QR9puKRUqBkjzgpJga1g/l1lHUkgO+NIAxlZ12H4E16Xlx0YE50bTfJ7o8a+BPORiUkyC9Smd8
/ACkmI6dOkVMlcl4neIdOwZEhXQOwXPDjgCHvQFqBXy9q2R4IS0YrBorlxIoawDO0hWl1c31KpDt
06D4rcaaNxFAFzHodG1AvGpQLzsqD3BstCCIT54UDcaZ52yBh0niuXJwsUZxY540b5uieSS56sC0
4tQBmIVyusn1lCEYD32Shhts1h8lSBpJZbvMiTxwwnzrKGotctuTUBwbh89rC7CNIc91pkg3qRNC
CvrW+/oTxomgFXqarnzwONwFjl2NtfasyLl8zp46UDq3I6ibASNbPu7+wHYidV5m4LtBI0YZGC8F
ysvrbtcoSK8htSQC25ub4Cn6APncD6gPRgT3yQ/Uz1PU36T4PyKg5jWzzIMPGmj5yX5UrKAGNAiA
c7aACANFE8aFPA2KL4wUaKiIQ61OL+EdtlXhX9aKSYQu2GSKUoxs4yEyuuMIvigAFQ2FM6pLKDz7
U0nzvWjkWjDtNKT2OAJCIii+1JMRn1yldgeVNBUzGSl6EuP5VaV4ytogZEoRlpWH2AfkcvIzTPCB
MBNgTKwLhxXD5geUjxcVuGYItok7+jVO0Zi1WXdQF7goz5/i1L2lfSuPuSI/dRDQMstPmmJCA4Lz
LCBRo3S2HCQXlqJHsW+01oMiSpMRSMWUb4liTV1FnU7gp4biUA1ijjY6aKpb0S3lpiiXpuJWHanv
GkDWBqC1AmydAFwDQFdspIncUgJBVE58ZoJu0se2Cvv9aF0luBTGMLNm7OBKnY1b2yqYFcu7SOG1
+CbtNHjbdvb2NfztnBqAlj5fjXGGo8nRQ0/XfWfeJgrd1Y28WnlYIyx6Y7guhXNqPkhfAGeoX8bD
0YP9wQIHdIbNHCfMTIHCYYW+q5rxrvN6ns75WEVM5RzVmJ6mckdy29aVuX/lqcZ1plrYsxZVC1O1
tXGLGVFcZJ96Ot6Wg28xOww5N+hOqRNTfLsk0WDtLqA7uxpV27zo/f4ixtGDpJnpPa+RKPAULxJS
7JdCNd4dvAfXNm5IJMqa5PzSnndDTG2MsKFjl8UOarxMHgejpYNfGe1TbLiED2A2rGHXP9jXzZDP
nBNnjE6H1AI66DPLQG89k+JqaMdB1BcID66IRtxYY7wm9fohq4IbWUEOVSajRvLtzdTr1jgoPQUg
60tXDuvaAC7ok3HbWQRoiLb91GP4ZSTeM6T7qR8mNpmIBIF+04LSR6K5K3UiOD03fGVlfdBFvQuG
8Kzb4xud/UM28zX5YbTmRgJa0cRTOdsHN8pOdIXF0nEz2t7JRiuzi75ji6YH6a2++sQSF5YUN+gT
UX5k8x6k5WiP0c6o6dgnNIT9YWEXesIhIJFoHMS1P2S3LXxMX0zTKsvzu5xO8zLTkgNivb2uaydO
cEtKIRDuat8GPgcGOjludZBlS3KFOKQ4DmHAQqK9t0m88rNKjEMldD0GVAqTXeI0G66JMMRdoH3L
Qv+o5TQYuOlGIJrOTz/j7ysXDQ2NQo9uahVMZWKCxixzITJnF476bZNoFfpcYh/B8EmQwr2WaIWA
lDg/wDul85tNGxu7rDOfes8CUjHGDTGAS+EiYAi4H6OcxI4pTZ4Q7i6lYQMhw/T7CWIOxjF7rYwf
fD/Y0hu+0nszXCStcTcNxkbE5WNhOPpKZIxLtT76EtRFD9g2dOs2xDnO1i8DKV7Q7jrrKC7XVuAi
DI72fqT7GykDzFtmYqHty7Y0+MQMh46Oyc0ii8FeDp6LbdlUGutgcrxzYRQoE1F24um7Clv9OrW0
Y9qO81KTYtM0xGcGRH4tavpfu3Bynu0hnrBfq2wsZMbjiAf3SkPAO3KgLDXn2TTpk5QRbmE95Yvu
dJuk6dNl3vCp8avb+WrpqTy56EmE3ckaia5dJqcSH18C5WBizPpA15EhjdOgva0zxqdjQ4lY5SuL
/2IgtWJ+dSujsUSPwxDaNbHMbbvjXKtd27aeRoMHLdY9uapHxLzVZF0aSXSZDNiNxhYUczg3xzKg
LRiN4tGUqbwY6uDab9JnDFesnXrcHeRsuDiwmyd1L569sL3NS+vaGMbo6AuCGY1yL0v9Dh9OFFO2
TrxXt5WYIutZcqwkUieX8ZO0s3eyWVA/CXONyuUuaYuLqCVrrXeoM4dx3Zjt02RUNzhs4sFRupex
IS8zNyYBzpoO+Rg/VKn/bI20AFmHD7ZgxtBJp9iYrfUMq7T3GwJ3Yj3KtzkuZgetMjYFIP2qzMkp
YU5lYtJbsjtKK9PF7WjEJscI0qlQlKaTZcbLRDja2jSiAPO87058V1+hi++JW45i33U51OQU7xKC
2hmQMj6l0/HjAcqMdJ2eZx6dSZ5c5PmpIc7Gt27/+UV+1PN/exHHsND5CYOj5I8vkgRjLaCsorM+
obA46RpSauuuHe7++WU4if79s7iOZVuKTtA/sILvRrQByAOnAJ3C3XwfintNXPz27yf6ycBxnBAm
w/75u2poeBS4P6bnfOBG23kBdpx/nr5/cS1+8f5dxgJ8Q3xRaEB/6jiBFJBtbFfZ2ePcYV/Z/vGf
f/9PlM/Xa/3d9/PTtbachHEnS+mZrD8Ne0NjU7srK1qMbzgy//ZLuRy7dcuzkBBht/PjFcegUp9p
NCVnPd6R4NfqizJjcLxkG9bKr6Orz+P/k2/FL7429ba/o4nUx/rhsqhb/LvLjlQxw5YmTc+lWDK8
szl3tZhMr6d+8/sf6vvr/9OHyt3YLzrv6wuR/5EzLgg37CNqKy7/l3vtF88ldByGQnjVe8I0aXN+
/6EE1uMFGy86RcKt09d+XNvB53/+OL+63b57iZ9vt7mxqZVsPT/n3mscPFva/+F2Rm2G+4BvEKb2
0bv57rogorRbC5utc8wKKPAJn/4Pixd+B7rDjI3HBn/aH78kQnio7x2jOM/u6+BedniT6+3/snb9
4qHhoWTqBa1mK2Dqx9fww4xZPFG255rCb1p6qMPsa0zdinJFstg/X5FfvBYqE4Y2aPVcg/7Tj6+F
ixhNNgxfETtRk6yjAlJ/7VaLghrr5uOl/tX2G9zmfy66q1cyJlDyc2i9RNL/3/91iHLZ/L3fqX7o
W7/T8P/glrUpXg3H/NtYQrDuO/QZv/Yu/5xKOMRN8A+Ke8dzPkYPf04lPjqeKjSQR8BFhflb815X
Pfd/LXbIkHz0mp6n++jlKH+tn24RIxAtnItrX4YzsuB70ydfiRDNKTNWYaghZ/Yw+otOjZdwNsAp
A2PDIb3WNZZGcrNJeorGNlq2rh4Q5enh37TPinpeTW4vVF5XwwyhaYILbNsJjQU0nJPrIkseyyG7
cYzwZRxMQB8hLieHU6OV2zhruCMnuir8VLh46Jl6blJ44Vwx6RrGs90WSwucc01KwkE0t6ERPDGi
LMNDocdkJ6chaeQPHEQbtBXdvCXfkCzyFfZfo7MsENzkJ0ubnN1EQzVSnVVcl4c1eWGYqau+K761
L1J1YlsnC5ZGmW8aZOjk4sS7KtZ2ZJG1i5FGLiepmDEtvd3Zyu4jmr3miQf7VNAAHlUn2Fc94SAN
7gyaxBnOXT5N43i+NmghD33z6NBStki59k//PohfhRdsaf/5QTy+Jm+/eA75mW/PoVL9UWYxmlfL
L77j380dxB8MEHigBNIH1L/81bfxIGblakv4E7zhF34bD3p/oF2jajMIhBGkCvu/g9eQ7vnzk6jW
AJ5GT2fWojMH+XGxRsrLIKrK7XPSpwB/km7A7TgSCrfjlJpsB4zWOZBaclnh8CAx9t9bNdYhdqfZ
uySgKZpNJoj1oCMMjiF0NmNH2pil2D8BBOgpGnBQXGAi8wtNkYIfhtdjSiRkJtHftsnGnz1siHta
DMwoVsEHdOggecrH4QBZudE8TkhMI7ubtm9Qwo7OSzr6+aKJQ39NGtQ21YvdjOXFYEqEfuSi6A4m
5I0JIpRn9a6djUu/8d/coLuOhHcGFNijuLyNPCwViuZJk155yANAvdDf16EV7Q1/eEpbufS0ECNA
+55EvHFBkQOvk4gSUYJ8ZkPfC69cx3rwLPz0tQsFR/e+Iqyv7YdtE0a8ZwswQ+B1UtelC6riHyoV
OZHUJgal6WUFHUz0hDxVmfVah+0ZvPS95YsmR75YzgWwwxSUF5mbuFj8tTuS1ugJ0YkgqXXhk2Wx
TpRJYUm/SbgTIXPak1eH19NgMddp430nKSUqt5lZBVgGPVBI5i3OMh6KHUKQ54ShLHKHYmmLet7Q
mZuXsgw/N8AQS07t9io3pq2jRRcpku8tIRqXHEzN1dCm4Sqq64cyCK21qN87Z9J3TuL4a7TM6MMZ
51AYvGsjTRHqXnCoDjojwpEDad6dV3vaUfPTXWLX16lsdn5fE0fSA6y0pbu0JfjIqMvpZaKV5Unr
i4tIZE0YoL/E7eLZqssLW1q0JObrClMLNM7PA0dsuNrw3c2saVMMib8um5jD7bRLwMEWtWU0DK6H
NwjRgo6vjVy6lJvY7D5PYY18xRYbt0+YVxj8fVyXADnkiX6iaW0ekQEh386U9WmL1VO6GpQhKp/f
2WFvjUtqYEc4pvZY/yIr9FzaGPTcuFKmi4FLRUzRAm6FGxSX1gWZZSsyaqMNeVzRhC6RHiHbSLib
ev088zBcT17sbgnHpImJVobeqXkhRCxAZNEdVvzMHJXaGft4sXBHvaAb1+M2a1ciWSQGKI8lonGP
mw0e+yCnF543zoz57WFNZD39qnCQC73vNwO59h6TiaonW5VF6iQ62gIuilrMjOWqSePLyiFZzjQe
UVNNt7WhJc+5Qd6PWWWIY+htG0Fdrr2WG7J2REI6OJ0Wi0HjmNMUEWijFh5uX9vM9LWVm+uoNIeu
v8wsaz3Kwl/QuzpBIqHixYenQ9G/6MgowN6p+VR32JcLLDCRa+5zpxNgct6FRoDWhSFJBiiUQJXw
9vrFRMawsHMMPzpJgKylNso8dNNVRGYTHcQ0W87w1p8rw3yKsywgmoX/d6gHb5vPI6tSktrbIsNL
vdFiHYlAVSwMU13fACPz2Qrwywu3JNddRjxRy2HuLmJgonDgU8P4bgxZHIxJbKMsaNeFz0wwnmuU
Rb63HEMXDIRWqmjnlHw3IovicNpkeUbgXASaFDO5Kjz7gFMh/bqS/FI7edZ7ED2tucU3vl+QyIWB
11DTjU1OTVfLzUTSFNOWehuU5c7pmncpAjII2DxWpZbywOKfY568MbvLmjg9+mGP237UwDJE/jor
6NnLSt+hBHuk9NkMVnnoAu9tLEwGfkV20SY0iqQxbjl/fz2B/Fuqq2n9f64QbguUxhw5v5bv+y//
/V9fNQ3qp36oESjWqYhtzCqUGOhPbYL4w2aH8ByTKhlKl0LgW43gQQaYFsYXrqFC29Qv/KtG0F0B
lWsxZsOi5PfEmZanDod/VevwB7rlu1QqaJLwxnDNn6p1Jk5pmTCIPpuCgffGJqZwCRfcfa7jbt1b
ybjQsyDZaQGBTbHhPwQtz35QA7JylvjUZumtmw0+RbW56lqaKEEZfeo0fd/01REfW7msbfQ0OCOt
AgersUQYL1iyyS2pF80hq6o9i9RSzNFZoEKkw35qkokM68ZfdoRFLPsJWs9tvF0eEcUzsNgImMTB
QYCnzVeJ0xGtHA03pmiffYTPSzvJrxEOGRx+tTstJCYs6ONmAS28kYFDrOJTGk0vg1S+QXZ809S0
4Gss2IzMPmQ6ozOGxNupKMyTXlrnMJqthW5Yh9kuAQu6g9cEX0p/OESm82JOTnJtjSTsyjw4Dfg4
LUAUnpFDrxtkW6/gBgrm9VZzUz/guf5FunHIWiCqJa2g+9HVvnT0N5YFmGmSeKcplci0+AyBnpyi
uXxt4qLZ9AFJ3LgmZxjeVPY2J5g6GBEs1F52P5XBuemGF4xxSNxy2c68attamKz5eIQsyAPdeI3c
VgEVoMm6bQ/zrhsMHUdS/yF2SPYebBx0yLlsPQyCvfg6z3Rr2efj0Wvm49B4+ppA7qcotMWyN8mU
q/zkoWrYC5OkfbJnptVORWpzk70XXn2i3JTHMIFwCK1wlTNWGJquXSLl3TWBD0ZRyTszrdFcEd7k
ueTgDE5XrhFUfcmleyuDadupRYpsrotJLVsE/r6NrGMz65nDusaf7XK10Fm9hwOGWvzCuL3KP5ZD
1kWsMdQi6TNkctSyGaoF1GUlzYxqF7OyOj1pOa1abPkfT0ZXrcsCuEtXC3LPymywQses1NZkbJkk
g4uzhjdqMW+LwlrlrO+dWugrVnxLLf1zgH2s2gwstS0k7A/lx0ahtgyTvcNkD0nQ+KY+8oKE3cVK
hotYbTdhjeCW/UdnH2qZ5ZLnzXjycyeL+jHMW8GI3s8IYSly98Ys2WzR9tWZdq2XfnXTTDJLt8YY
bVqhQ+5xrO3M4D2RDOFsX1+GBbMSvXIv3Hx8aJz6U5tQppUFvJtkChYm10SL7z0mn0u0S6tydJex
cAlETvV649ntpSFSiw9XAk8wnBRjjNRltNYkbw+gte68pKTPlmWUrVoCZ4UzoUsxIQPHFy9gYOtP
91xoioQYC8tIO+ZVuA0TbZ9TgtHjxfAPnQC5x3E2MXfLmeV4pA1Z84VgMGdU9Sq00eyZ2Fv2GaWH
iOKjGxHa0yZk1I7udvAZ7ZYZF+ShVTqosVMjUuq0bh9pAUR97q6mrMFqzn/KcOuE4AmPvVIuoyL2
N2PmdIs5waq/0i9F639uBmhAZAXT6JbrxPJXopxOgOX7oSZZNTP1+mAOA9fWxq8OE5+m/oy84Qx/
smpi606PJL50E6kjiUuhYudrK+Ep1MllqUbDVyjprd0FbxU59gu/z/atL71l4/Y7XHrGpVbZO0tk
V+ir+0NIYRZHTKS9qF+GVnca3PwwMncEyEypFL1n5oCLFl9+4B7Gp/qWECNCZvpH3Sz3AbFpWCK6
6yROWf/GHHMip7gRnd8uo7lGHIKNqIx3KQtgGfWXgTPf4duzqMz2OjC7C+xLyf1h5Db602qeiRd3
6rVAxlMUTU9eQz6zCouNb7cHPZ83HuMh5NgAJ6X+KQ0aEpPN7kVEWJYPpi32hiuvDDwNSimvjdk7
+t7UL2fG7LjLDBe6k4BoIzFJShmvMy3y90La9GPC8QrLnk2STlem770LkpbzrEQZ0a4bThgbeib5
cgConNryqnW9+zHqwmVm2yRVZTbOirGZPiUimFay7N/jpjswiX1Iu3wft8Ux9FFWYMh4Q6Dhyozq
d1tO664zystwHDEbne8Tw5wXWNw/sAKvm9y+rrWgQO7iP2tO/ThW42HIQvTxXeZC9XjL1ggPJkPp
cFQGSPJApcwybk37oEKRrrK4UPqQLpU89Kk2AP5oubHR5nZYegwJUx0E1MYNhxbWDBoRfrF60a2m
vhhXTW28+vN8NupMrCkXkMabBsY0CPEDUb27uDKTuZWc2shluZzGHII1eixi86rIzBsrwU2+Lyym
AM1n2zPB+nySB6dz44z72WT9ql3so3M7vx8n7aEci7s0wqR1yMUKY1gopmk4I62dl9bs3c7U/sRE
xN113cYRUgY33llKcuKQewr+bzDsPHxXT/1icGL+OJejmUg/ktYKQkwElJyqqJG+HzI0FV6/ky9I
C7/NFk/2pr+qlgQ0Lv3Xuxu46YtoXSzbXXS0t8Mq3BWbkPPjLj6F24/38W+Ba/1jL/o2eqt/GX78
XTMa8a2OrtUge8Lmkf4pqwIo1aTZauDvzRT3rwLX/8NFAEjJ+dGgopX9V4FLfg9NDjrVNnXuR8X8
G1S/qT7QdwUudxAyXlV/MxrRGVL9bYYkwiw0i0g/0yajI5vNaDSMl0J+Ic5rJsuPA25+RCGE2Iyw
syNnNXoKpnt2yP3qqhKZqrxJyQNDHbrUVUBYk4RPeW1vK8hLkXtsCpxLG/eZPiEh3GSMzWSNtTaK
fMn8amHK7r4c8ztScYia8AFeKsQ9KyQCzwHpZbTqD/bE6keq2Yx20yDlzLS0apmRexayk/gqCC3B
cqzpcHyOyUhjz9gNKjTNStqrkRQ17PPvQcaPfkyGhQPJmJC3pg35Y1V3DwlZEAuLRLba1zYzCW34
rLqcyctt6SP0GXxUCBER7yLAV8ol4a2NKCa1ySNxz0IKRgpt03uLiVS4ajDpMiFj22P9SqRhgOmY
DgsTD9oO/SCsalQHu06btoU17s2P5DnnZii7G+rX+j4lmy5VIXUOZh64Tj3qFN2eirEr9fGExMde
DNLV1jZZdy1Q1HIk/c6ymr3jqx2KXLzJ+NKQkidJy5s8TGQnFaA3e5iHqEi9lPhg9A5vwoVD9W3j
/sPBbNDZojQr2LQqmm8aCOnTx2kXk9rn0S4oSfHrGr4zqYL9hq8hf0hRSfxrR9b1dUDC0ra1I3s8
tIVq0Vil3u4Lj2Z767JJGmZL7H1V6LVLcJFFPdg0lBSvaV8NbDe22a6cREcWNhIpi3DZLOoV2C2m
aeSqou72iRyoIFML8TkP6wpXZNpwuGMTOGAW/Nugr4a5+ewEHcGuSfVOmBZzkYBwoRzXS9eYeppy
yY07l9PBFe6lFppsSMikaV07uLWGT+loPefeSHk09qhY8T8m7C9aWZX9JS6bd3Ma3+a2nha9mz5I
x+JWEALPt5HQi8Y81LkWEb3UirVl91cjeXcr4Sc7K6yfvcRuNyROpEx+veepVfbeloOrmzt84Qik
ImGGkTun9bGDaLylHvvylErtUj6n/SqXmJmN8RcLizs7434hBRpW/ODk+TYuyutexCFxh+N9aeGg
7RRym4YBfhkcJKTuPAbkwWxt/sQzhkc5V9f4qC8nS2s4tzxD3eERN2kFBsruHK34VRxk3WSlIc0G
Xk0XmhZC0NUjlcDgkM0RVjd4K8l9EobquHE504qk2fXu+Ba5DlZf65tqSurP/+4rX0crbOT/uXFy
fG2at1+xV/zUt8YJQ04VcOQI82MX+CEXzvhDqD9G/u3QPmFe+a1xQtIAsxhEQhiKMQb92I2+NU7Y
chCd8xuZsDAKJVr2N/YVlZn0075iG7wx22aUg9iGuLkfK5O+80eN8eVwnhgauuuwD1gGOrUiyCki
NNRUx7pEivUU91SSRmcQeAYyFrX7co70xdg7pGs0ODYjORzNdl4nQ5kXuHfmwrE/j7i+YNqCX9S8
biX5H8Qi1/gvGdJ/93V08LdT02CxT+FnBatgmmfMNstC3cuwr+BNlSPNGVl5MuAfMBeGhYltJ0dj
nZmyntd0nsh7C7z/Ye9Md+s2ui59K98NMCjOJNBooA/PPOholqU/hGRJnOfiePX90H4dy05id4D+
+SJAYkM5OhNZtWvvtZ71xQeZqJtWJI6zQbJtmHepyoFybdOfxSJGpza3DLktlW7cDvrYxu+97gzr
IMZNugqCGOYvxhxBoMkQ7EmYTV8iouKWLrnpymIsx26lpIjkOozpCENZsEWmgGzHvvvSmRhapynT
N5KtFa1rFRgbcwzfrV4h6Tt33hkRGciHg2xll/ysVOJZytjWG4Je+0MYlM3BmbvRQcQuBxgnIPtT
YZZq2wntbZnUywy6yqIWClLLmbejjpHYwnpkgOP3+bPqzDbRqQj2Za2kl8YIFI7cJnfjlPlbYk/m
Rk91sojCztiANEDW2uQW8y6CoQ2zTS8JaEFV6BoQkjoNtXHVrxylYPTl6G8hLpctw2Iui47w3wwq
xaouAnJSLeWlJBJ+a00pUlu3cDZhXb/bve9vSo3Zkp1xvF72dTDynjR7UxRZs3dNES81JYyJIcfc
ERRWARKr86I2FksqZ3rldj9eoQWlGHaLbNW0oQkVNUPVWxvOom/Zm/Kp5mU6+qc05ygdVHGwqGuD
tl0PXoDcerTaZUedAuCb3HiruoLIDwYn6OWVHTHKmVAZkiYxQsvHwJquJ+GiPuxwfTTGUK4G1W4X
TQZpwR/yZKvSAwBlEWfb/y6bX5fNX/abj0XzP/8nD97St+avTWf1Q9NZxbdKycv8VkMYACj5e9MZ
IoALJ4CqmAwXIlK+r5268QfIR3CRdJWphefp859NZ+2LpZVl1dQYI5v/jlQzn9m+t5zn8bYjONgJ
guVc1nDx05kudujn9rkbXxBXO5nkl4Ubo3r4sJ/83cHR4Y385VkgeZFRw9mDcwafwceTY4XcHHeq
GV/IIo7SZeEI1HBuPTqEw2nJKtbJayoYCh7tgFDstgxJspvQPDO3vaZBeZVGzkYzw+jYC8HQWVVM
T3VaAh7USHgiCHe9lu3aLiSKCcJxqx7F1F81o3aqpoLMZv2MG3cvYrrZWUfhGYvKXdvz8uK35sjE
231VB6ItrCTjh5I+O3mL71SZtElzi4RNQIEuWW88nk6xi8uF6e6+V6Zs4/eDvZRKQxqpi957aCd2
jUTm8Mk0497HKLmxU1N/0jIFlDCA800kktBahRT96aoYsVcVhUpagJOQ/xm4pR+T1ZRLKGO6cwEN
ZmRG1LJsDZYThgupl7pzP2kVXrJKSze1MlnmRi16khXg5LLpViBPMjn6CzGYytmpNOXE76df8+Uk
gVK+UPKNw5hqSb++ZhPAolzbDhTl1Ej2LdZ855Lna/Qnun52c9DGoivYRvVrgCbmcBmqwG6qYHQP
bm3ZeyJJgkdocsYD0VZ0RdMRHJbMW2PnAGSocffNjW6HHdnyRN+4hJqDibHw+66UVszhWgOR6XSa
vSoIxl2nmR2Q0NZeST5zoqmn5rlBoTCM+JfGAfOYW0U7BezxCo0yQqK066+njmGhQAHnFqp7Da4A
gnVM3LkzuiAuygyMRGJgTFDxYkcP9Fm7I19dBycnwqckUSA1mLrxPw/R3pracAV6GDuMTFUvd33j
ogk7rYPg22yQkG97g35mOGjNFeBElR0mO+EKOHV1k6+zOroyCnPnhG3MjCXdEmyULANdXBJvdiNV
u7sjH8N5J5QHUUWytPrBei+ilpq7WSZ+pd4KBbiSJdeKViQkrKOgdxh1DvRdG6t8bRr5lkd4dOPx
Hr0SzM1u7w7ZmgWEYnzaGIM4jU7HoUBusbyjn+doU3cvwmzRPijrtFfZfxhYtONn8kzZtz77olWX
vZUSgmdDcE3M7tG0opd0wqRkNUmzZ+wdAMGejlqm0RLUThbBjH2bPJZ8fY0Espo79srvLKBQ9EHF
9Dj4zSrIfG1RiYqjbADxocnFLjZJYVUhLpu2fcl7vDZbsHVDNAWIHPzGMzoRnUJkx2A0tCuZwofs
K3kItIGLWaqbtBqwyPnsjU42HlxuIkHgoubWy8Fxjk6pH42heKCT5yWmfdNqwVVelUd4IoxL3COm
mavQRWKhMeTgsE+1BOV55OgcA3X22hq0dFCLi0RJnopEfQJvvSeC74CJYh+36tXUq8tUIxEoTU+m
EXtVWo0HHHXUYhQJTjh+rhJ7285B9zVdY7qXWAP7vVNM466a8nwvneI1GyEiKWGeEm+d5ktz0JNN
5ZYbH8X/9TQq1frXK+/fcBRVh3Hfl7wvGkP898eVNxzVrBmtNLooqkRbdamLQrQbk2WWdelRZgCU
7M5fB0WYUTVNb2pZNVdVlYhbZ3LSRTEM120dH8XgLxPXfhCD3FSh9Y43L4CTTdpQEBOmjixlXUxc
06kfeYWPpLqnIIULDPXFduS2K4qX2p5aL4qbew2246pTiVwhOL2Ale31ldcMO7WkFSL9fKPG6FeN
7jLVik2T2a+YKW8Iv9q3fnKYmnRftQTilgVjMc3dyH4sls0YbbUhNL2mww8Lem0dGvEGsbK9bERz
bYyt6pWhtRehy30Nu4AgLJVAnHq4I63PIMCSgYw2Ytck586rLAuaY5ScunK6CJt4l/TmxsThy0SG
uPUvPHennn1twRo8yMoMymMaEEdp5xD4cY2mbbZlXwPRXhYT+1qzLuL6zBDgmogTtBvQjpcWJ3na
1RR7dX2JkatbZhNKq7qO7wj/wx88RM+usA9Rx8U0cIE6KIeSpHpNKrFRywzWjUqvCauVbnmci7c9
65DeFK+Fax9FJWhEuMqrr1rTotSqhUXKPS7CTMWiNK9l8hjZ1idNpKDfaVo4aE7GTFM9OjEJ7J/g
rE+mimQdsxIRAc5Wy+L2nlRKpq1RVZ9SKtndry/Vn1uDs/4fUh5T71nCzhz8xwsVNUcP6yeLLvx2
bhHsa61d/PoZKJk+FCH8SsgCGEocCCKz+nZmi3wsQnQLbKhDaMNFSltEsc5RG22j8pr0CK6E1Ius
au3Gq18/JwfQ3zzr/L4/yNrbMpGloSvKSYz5DcRTVH78gV3xE6e7cQ7ZjD3pmA+Wr+8w4SU0hjCD
pnkPn09D0p3X06dCsY+RNIQHpI3pZa++OCG+8kzEdwQ/9ssgod2UGo+Wnwx7NUUxwNWUF6t2svOV
UyrVUsUe6Nn5OO7awdZfijyWayIHdAys0eeUa3VVCStcsgKPS4lRw+NIfdMacwqrktwh+dF2WUCk
3ihfGcBu2ZRu4fCtraZvFpoZb3URKij0qFBw/TG0n1rhVZmF+KY3OUJFw7UW5jSeGKNVemAtTJf8
q6Z7r5oeN1MZ7WpD2aKnux2m+MEQyd6UBUqzOW078nW4RDLKuYiJEJhipn/VMh99+nGpIGjLT1hl
xUMnoB5EcXZywmGT1/2q8yeuYLFKZMDAnrN1ETPDLafYWdapf8L7TsaBTXIBIxUnGG5CUM2LAalC
K4kG0HUpvMmWOOkjMLBt8WzNmAKRXVXAWcAK0WdWQdJ1RDyY2KlRZQFrVu/yEZq1PxCUULcXJZaX
ZVyaO851b04lWkyEpPGZxiYojaONS/s3l9vvrvG5EP9wtfUGJYZG8PspPuaXwYWyJof0vt9MO0Jr
jxisQ+8zrUDUXaf8qf/dfOhHieu3G2yeMGBKALUzv7gPTw6dxckTx1BO5dJc5EfNK9c4BNWD8mCv
xUrcnRXv+NCtkIB0z/wrvRiPYrGP1v7FPNf9zav58WDz9cXoDBkwRlkco8yf3FGj6BEHqnF4EYrL
Uk8XkXiou69H33+0Ev24Zv31OWY9z4c3PNUZSRBhGrK5vgX11h2vfv11/u17AH6CT4A+Gi2uH39/
NpCcK6KKzVu5rGi11iY159cV6r/TNI1v65+7nsBs/obkNz/mz56n/QdOKhu0q2Z8Idl8OLe7fzAD
pXPJ4dsSX9qR38ViNt8TgvLv/L9vPc8Z8sfl6IKocrH6/rtzO9J1vvyPJ3dqOQelmqrhLmEo+7P7
p5lYq1uztS4gcGCnp31bIj90wspYKgN4MtJ8/Za9XkHSky4d6dvFaRRZ067aCEt0KE2Rnpw2EjAP
tIDnCLyGxp+xQlRhkBIAtEUjv2XqTTIGehm3wUPfZgo+JhGQF4rGSXHLXWPU5Pi5nWkNqHFsogbx
DAZr2yRhr4V1q4mWOsfQtzK3SaNpOmKWOqqTOkJx2QZKs/ZbcRvn2qnOLQ7E4Ev8UVznY1QvVBU+
AiFDh7LIDnnlH7Hq3o/sFpzCC39RltmmLXdpFvjIKGiNRlYceRBQ6TsOGKIjBx1w62NO7obpIbPd
S1UwWZwTjJW2YTzCSGHBzVcu+8zZk/bwqg1yWEZt90kOpk76TwqMW5hLcvkuUVuM697C42u1xA74
XSVxhU/DMpFWumRvh1dHFxUlrrbitDUuOTNUGLO7V8UYDqkSBRwxfIigvvo6wNPnlN6s6UNsI5MY
SXDYx9jRSm9We9OSgP5V9cemTVqvizqwG4V+oxhMPexWW/uJj68+yygd/XJnoPFaDEZxEWvFNS1P
z7fLQ8SWFpI3h+wMA5oNs65NX4yRwKc67JbIlBZdmmCmIV4bivbe8LNVXTrWYnaULjQ5xIs6LZK1
M9rKWtHliTx1FQXIfBLgZKwGwUObU7eQMRBt9BFzI7HeTD8pig20LWol911LHlEl6oegQME7JeZh
HNUbGQwrKIEdJ1qIYHl8HRDWFJn6MrGjmWM6RSvfHFMmV+iR6sQPPTG4l8Is7JVT6W9FqjZbtcT8
Y+bFhanCFg+JZMz15M42rfssrpAaVmclLEtiFeipGqkLRCSN13Ga3feE+Mw9n1bojwIu09KOzU3X
pzdDYu7yoAJH4YOoCR0OEmMTd1zoWnjglIPq353oqff9Q45ocxlr8mHw+3vVaEj9AudOD3+Th+45
bkwiJ52FYcqXAU4r3aO+J7g3ATiSqLS9IOvosr2BbJAA21Gx6I/BLmiMYFtJZl4WMapO8AQUMeIA
gr3DJWUIRT7gBEO0d10kLGDztG4KK9wrSrEXtvucTzA0RFBpnlaoNxS/sGmM27IRG0WHSQt9YTFE
+s3sgF46JB4jIGPoFxonSEOKB05uPUTpAw4K7Obq+JwF07DFsLBtOyJ0ldBxvZyAMcAFabGWMieC
C5XlOLeT0mFyDq4YHeI5BE75qZ5pmusM+/7a11Ls6EhmF5YCS6YZz6pqvNVEB2JPrC5K274rkOzv
kdKQuKwOb0nkXsPCshcWjH+YtUw8m2l87zuQ8F3HYdkPNMOjhekg8Z67ATYVsp+2NxS9XDo0OJHl
E8JUlNEIWqAwPaMIt4jwnq1Q5oD783xFNNmpNauTqhhv4Kx1OLxMNOoETrAp7TWb7XvdGwfAz1uk
ro+5HWgrK6x2tk5/qhzUg0CStXYGpVtqrXVtDJqxCxiILMBu0uTQ4pNK1wCE5Aagy4GG61VcA/RP
410oqxs/rN7lgOU47+vjWPhnSylvS4fkGn0cq4UIA4ueGuteHRXcuSmRA0Xbb+KkeMgL9HB273LP
NgSN+SjVezooXtT1924jW2YEzFS6vOSXR8njoEud23GAH9qKecJQeO6g0Usawwetf+trAtwxDkWr
fDQOoZU9DiOfqOq2N2kvNXo5xf0X0bzeKPeaYb6FgTQXY2KLBYbznWiKz65mPE21eO9ULoYyt25L
CC4Lyk99aaYSUh98o3WV2ZddnEBJ8FUA/L1CW7W7MJXkmrdKCyk8T5gU1qYxV+Kdoi2m1D7a9OaX
oSN2AF0jdMfOsDN680Yr/U+hzfG9TqO3jEBQUseYZ6v9lM/RqHd6zlHbsodpMR8jQcZ+KQ7+WyWp
FPG/qJKeX9/+TnM0P+rPOsn9gzJ7Njtrpjub3L7XSciRTPAKBmoxPOmaxY++1Uk2miPInNS1+NVn
Duf3+Yb1hz0b7hweoCM0+3fGO8P6UVSP5sgxHJt4eHT6hK8684v4WKQT9Dg2mlSDs+9mNP3ZN2VD
6EQ61qhN04cyQZU5oIqYonE/50Ft8gxhRNFuhaq+GUrHLu6anB97skPs9DAQILKY3JgQ9I4ZsqJc
zada0ndgADlZei9cqg4/ct0VSonPaku4jnTaC9kGXqd2j1aavavcEyZKlUUUhE+Wmy4VWqz3NDzE
NqfHFWS979k+6Uu87GLdttT/EQVXoGqPbWrnyypiftzoBlNJxTIIgfLfu755AwBqwboV1sopYuJF
6uimSMKrIcifJ9HfK2OF3tUKOq8w6XsnBOeZlmIu21mFUboh661dvDhm/Dm0a4ASLN11z1tsa0IK
m1K9VFK2vjQ4FeV0iIsIu2ttCuYK2iU5jZci14HdR6mk6JGDl9KD2VhGiZS76T/7TYzAQ22jRRI6
DCpRFMPCi2+7brzExhsudCEr3hL3PxHuN03m06BUr9g+a7ZuI1sq7nQIU3cfyoFqMBQshmGzMGS3
C9Qypo+N6htxGMt/a1KyIHCZI++muyYpEBYXJkWvtCGmlFLfQ3CN124yvDJEH/dBF6qeyAVWrCx2
NnrvKKsy0I9Wpe4qwylxAvn+1ajkpKVX0l2PAT0HN83cBUw+y8vbPLwqLGVTzOHfkU2rr3oaAZlu
mkCfNQMhy25gR3RLjbWNIRj0KrN7K0cDFVQknts5qIMg+yxBB3jqDJaHDp2t0pwWwpD5T+xzOyuo
y1OUlOOSXzouwVqv44gsRiTKq8hX5arLrWavadU17XFE9jg3l/FgckG2WL8FwL5trVFUgpD/3NZC
X5RNSyglYqFFnOSzu6Owt1GsUfKMzglvn7t0BuutLjvYaSRW5T2GE4Iz4Z8Z8bAMuihdlwHTO1Wx
bvJQf+pscDQRneZF49jpVpIO5jVBf6OMfrPz6Y3bBpjAPsNFjj0Vy17bcRm7NiprvJLENhpbJTMf
3Vh7oSe8sRWUe9rQnBTOG3zOFLFGny+nsHoZXagKdm9X9jJvXOuKelQae3Vi8kgbc97Thnl30/u3
lM1uQLa/1hKnYMTETjiyJY7z3mj32WM/75a+g7AW7GBLU2a8H+Y91Zp31yFS4H+z3xbzzot+/MGZ
9+KeTZnKByvivE+r845NRQDbct7FgfTdTmzrtVUe23mfb4v8PWLj1/Rwl2vOoXNIzqEwmCgQNAqF
UAlPYq4cgEUG1KoMzbLauBaF1ZE+R6WBXv3gzLUHLfNd8aUaSXjhbrBFI39ARvFuUbZg0pmXJmNV
+Nm4L5TxWZtbYQgbTRTvkoPQ2Fn7aJJULsHgtxAapXyg4O2K9RCWRMOFSl3c6H3b3NPw75nfaGVC
SdV09Rb5uPkUJIW5l02ZBpcpaCVnJyvFePIDS/NPsYl7OXMTuWxd/0FlfrMyB1RvxO2kFPMGsuQi
6VZ9jMC557pbmSWjEa7Cx9ZotxMhS0iyoXOhDyT0Ac9cT1jEgjzeKwep9ZDjWSFRekZXZZepFdCM
JLxqlZURy1OSaqs2iN+D2r6qoX1uld4k6qwh+WBEn2/PolBXMnXp7isTFih38cbxIRLPgYCVAK9p
RIc2GU2vLMUzDg6K07wHa59dq72aelL6zbbi8Ma15p/HRGjeKJOEWiYmMRBNTbLLC47YjZ4/20UX
rnQNeo1tRccoiV80p2c1GDgJaOu8GmeEprkhK5X7MEUGYyvJrRiOOdPVLNk6+F3zaUNPeqN0zhm0
WLTuxvjd0kMStSVjB/JC7DRaqbS1FqoDmxxRI9bUrL/JJh3Qoc/qV2dZwHGoRCKKynMRaxG8ZpjO
IwgfvROql/WoQzSruo5iE41SbR/9srosGkHKSQ/CwcXoW4XahRFyVDEDZW3WdeO5dn6fWMB3supC
sfzcK9D8xU73Oe6tcNMP6aFHrs4xWx78cnowKwflSnQeTeSkmrT2pU+oYRuX5DiKXdk4T2geODgK
0pQshUSOFgN7DgbeM5lF5GO6RIZ+wwGOM7hmvFkdsaf9xGKrO/IQY01Y4NTmsDoO69qq94Z0OFxH
Iabf2t5BGWZ9xiKedJh8lOgm9bPnqrV3GtqZRI7HrlDuE52vWjhIgNpCstx060wN3mLX3Zp9sSsU
fuqXzjtY3deyUQ+Z9l8N+3/slvP841f1ZB1xPH/+q2JmftyHilKng2YjJwStYgn6yH/aNAWCdEKf
vtg3UaV/LChhnIDGpNz7kpRBmfe98UYZCZoF5Ql4obkM/RdiQ31W5fzUeDNchklUvDrqHU39qbMc
10qi2ZMWnjOBb5kcbmk+DaoInZ1Z53lwWbAK7ae2sp6s0OhpCys5Zv1+UPrHerKbewx5xY3rRibG
Lb3ti7We2/Kh0VuVtZkCjyNnjFU8Uu4R+CL8CIiOSTUtAQBqXTrkG7SBem476zZIx+c+mJ41nGBw
766txslWpCJstDSLztpITaQm1mro/GWr1HvmG/BDG4zwQd2RiirG56SqGcj0OPMZlzcMNHAxkVGc
ErHtrEkxHhbK3LYzW3dnBHW96Hp/W2acfDvzOgODukx05rP+cEEPAoZipz5XeXVT6tpT6MRgOH3o
ijSKWsyY07RxIjfzUJMwozXM69iyj53TfNIy4u6sPD1mdXFoQw7zla85S6PBRGPUASb/HldPOSXX
XVUSfT6VJ70mPmfKWQjrmbVQZ2PD2XO256d0TqSOpGTIg/SIYxgDQPlJtzilNqooyfes37CAjpjh
h5QA5nabNvFGkJCusoPRlYjZJFzPMIiN4ICyZnnASQTSmBelEqzcOeY2yvmT0Q14ddziPg+TV5aq
KwcVuVOmn9UkvLUK/KdSxsbRxyIKRuAqKim+O9Mm5iqjdRkQVRHMGJkiNa5Dy7oFg0gVa9qvWAwP
JNdel6OD2EE47Aq5bS+oxGKCsYZDHqmeFD0chyLfpJGChmHGbUv0/XAFMJI2zJbR/6/ZzVZWCeLQ
tHpPwTm6CIWzNiq7u2jnQtkeG0cuamMnEyu7RxQzLOukvZo63P2mHl7k2Aqgp3IYj8f2rh7jF78D
XmuFdbvA3bG2a+cBU/Qn2w88DWMUbVj6svPLEN01joV15U/nFL8sB4S1619ysRYXRtceUze5BBj9
FFnUZnlCY7EeIGvCCZY7gW5eWlx2qhkfC61YOtAF0NA6Dwp95YU0SeNS44GM0zpaA3+8MMvsrLv1
wXCty66hTsQrwOjbNmhbVk+GomBe1O4ymQaI1gmY6qzzODPIYR0cFBfhQ1ex/frNrRPbL5YynGqr
fdP87LaRNoY5OO9dou5EaEMMSl3aRAXfAxrK11TtucUmBKTOkMIEyK0zbx5keR9+qshBX6giO2u+
esmwb41T90VRfI9gLwLOQ1yxGQ5D2RYO2154sDOZP4SWW3MoBe4Iwzo9KGlbeuZMCveFZXl2lj2j
SE1WckyvVCDMqVJAkmNwywTZ2LrOdExzeWpV4uRa47G3smepq3s8NTCUaUNhMUh9dxcCY28IATN0
Y6uXoF/R6dMRs4wFSeb5eqTPZ2hzjo4KYsUM9y6k6EOk1vlVMyR+sx86dZa15B02TH1aurhttmrs
PLQZUWhBkamUVWg81lUq5IbjADqGvABKPxja5TAaBJdH6kXIjeXxnZvnHLQs1j6SMqhjh4epInKX
KN70EBu0ZiUfwapPlXSrYpOj3U8UNjYeP6DTZclwKxUd7TJz5RRls8DDF/vJf9s+X6kIs7fvn7fp
i+fy77ZoHvNti4a2NIv6UK7aGpvhjNL7c4smCZZBFyIBVdhfIQvfmj6QFCzIe7DJXcRI1uwV+LZH
O38gDXX5iU6IC42af2UIgOr08x49R0lohmpBe9Ro/s6T1Q+TWSgCGQ4ZbTqXZcP0HrLqonaRu5fm
eKfG1cYPnc9Gr1ZLv2xfROuzGg3wWgbj0Jh+SrdeuXO7ainM8WROJWkKknOknxLbHERni+Pv6DuX
Ig1UDyq5tqp6sUkG99Tr5rHIio0TuNs21s74zIyFg7fAqwP4TNLqbyyTbCTuzTfFypHLu+RXdUZw
si00BwpC9IVTkY9HTTEvvptMj3bC7Ama1px7AESX8I7PpitJIazzzj3qXUplPm78gWJ5NN2rNA5u
Aqi4JOQy7TApJIK0EMtRGm99EcSnaWrL51zyPKPZbSalBvhAa0qxoB4riVhjSoB0D80NBnwkpKcF
5b4VZEBqJfm6rWa7yySsvCg1126VvgSIdWbCHBtUs2mrOkq8AunVAI9tbQvUlz05fHPnPZCuRzDf
sjZSdYem9KCLNNoj5N37RFygbiIQ109o/yTo8NzeuqnUyFqPTi09AjN4F25tnJ3U2uU9B/liwnNu
Nia2edu9sBKdKOtceo30n5rAuY2Jn8d7rm+N0X/DMYJd2xhIfbWyZUOSxUIrqBoUw9gWoQ+PIsnE
LREQDZwfcwe6elgaQXnNOrQdaC16oTmb5Kem8oqo8XeENghW99kiHLvrCAryagqjEQARswQzSD7X
KlzqrlI7TyqTdu1WqoO5MVmFJoce2pHhUpGqWHf9jPJKZ6pXwplqZ82kr8ARvdcrTrIDdrAcZh5Y
h7J8AZI33sjCTKtt3QSFf+PQp9qT8PsaKAVwID9x99NMckDlv6tBOzQC84kA9mAopfTAXq6asDVX
nYPDsMuLQw4igkix92IgotMAHiGG7lM50yQYwt23M18iYibtdSAn2FgF8cfTsQVGkc1Uiho8Bdnf
tBJxgknAFQyhuCWUezkTLYje2sYajAsrMM420IsW+IUZMY5svvAwkmbDpPiYzqQM4conosPPnUju
3JmlkVExBRp0DeInGIOqVbSqZ/ZGFOYI4pJTGMAJnOkcBN2dcnAdcuZ29AA8Ij+6o/tReYEShJx9
xaselfcd0A+F4oNSEQ5IBxBEUZXHbiaE9NI56TMzhHjW5MpKjCf8FodGtV/tqTlAHL+YwI0EM3ek
KUxSTSGR5HUGBQ02SWlbB32oIY5BLVG08LoLsPEnAE00+zZRVsboHEpIJ+6MPPFn+EmOtCjqqGpl
kl7Bl1AY2NWPpSIphUGnQPC/DE2f7EeoKnpPBxTKiqJY26npSXefASxiRrEwrlqksFlASO1gaZ0j
QEWtwbc+Q1y6GeeSZNOTOwNeMHp6sAmqmfqSzvwXCQim7acdqacvmjmrD1WVGgtmTBnFNzI1X9yZ
JtMOWIHyyr4PFBp/6sycqQtMe3ooV1nFWggULcV8m9NUvPjvoOWLm0T/5Y5785z/z7p+zj9Hzee/
0aXMD/6w9WIVQRGEbQM+6E8QI/bcb048dbbpfdt67T9c3CIGINA/H/Vt68WfghObwGJim/61LuVH
SdTMCHBsaEgm//BLcbX+uPGaKPKc2K+n8yQfKscnLFd+rcn+UXT149aOkIvfKiAkUUm4Gk8xv4IP
WzuLhVUOpa6em0HBS7Y202jRmK/dvxR3/eV5fiohCgUtdB2Z6tnEwazWx95+/VBTXX6V6nxkqWvz
b/iu4PnrO/lJ8hqoVa7NNMOzNmD3MO5s9531C0Pw2W07eonoPbvHEsJJdCk5NKrRWxySBXCpFVcy
Z5efw+QPlhmw/OfQstHf3IDCWA6cZn/9Sn9qefz1lXJhffzMdTgusq/nz0Jf+fjdqvKhRWqNkfHc
49rnYEKT+d1mhFvxR8eKfqNr/ELH/PmjUlXs1IKvf7Z5/vgCEFeqEpLKeCYXmROw6tbpMaHUlPAT
jar0XCotEnccdDxDQ7+iv1bT3sK+SYuxE8rk1WaFibvkcMrcRex7V+JbTDO6D/q+90WD7EWJ1btB
z+KNnriIOHyOx3kcE2RT78qW0KWuWqtyXHZy3ITTubOiFS7CRVEpC4QbG3IJLjPtEuQ+iqZPjc95
CI1swA4jUzrV1rLD8qTRXQQx5tkTZ5a4xG1xi2ClWloAhSbgTdGoei0xN7bIVn25HatPTUzEkELC
cp8fVGlcxfEpHrJNB+/7jqjVRalPOjy8W2lYSw5Ni7ijjjWjwIDUXjFocTLmAkn6KBmkZNmE4cf0
cXkExm9g8V/QDd+/ob/c+MZPtwuRoU0sh2Y6i42+9XfTUT7oGwJlzqS3Hskr9eoVMzlvXOvevt5n
62I5PCo7WH0bsbFODLS+gnL/cZmYb57vr+evl+xPam8DB5edzZdskeyKhLDlZU2pt67Eb5aj+dL/
1fP8tOA5UTalYcjzKMyUb4fXKsAE6oENsPzf3ARfGos/P9XHm2CedH9Y+VxeV627kXYOdS++JNyo
HThXLPpmBbIzOPe/e2s/ruVfP0LEjAzvHXItTfenrzSzssG2EYefe0qYfHrplMtfryt/twB+fIKf
PjuREyHZBZp2xv7QmvRIFYwg/znD/+OF8Lsn+WmVdQfXYqrJk7jdYar20rqFF/fr9/F3W9LH9/HT
8jiyV9d1ZmpnxKQUpz2m4msslaCTvl5s/79lKKfoc100xbv8X/Nv/lyUY42UQP7vH//afP07qQkz
9/yHv6y+MNCv2rd6vH5r2pSHfv285//z//WH/0Ex3o4lJPXn1yzKl1Ej6+iz5Nz/M6ZR52L+54bE
ddS9kezz+vb3D/xWGqnGHzN1H1ijQBk7Twe+NSVmE65NUwKDDdUYsrPvlZHxByq5edZAswA1yken
rf6HgWDXAbKPWQ6R6r9qSny5Xb7fvvQ0dNoisxTdtSxNx/H74+0bajlugVZH6VpU8GqOSqqMMGtd
QzSZWJJTlLDva3pCZpkPCIr0mWmtopq0sevQLHNSkZ7bebvps0HZmWaun9r/y955bEeOZNn2V/oH
0Asw6CkAl3RBGRQTLJLBgNYaX/82mJWVTGYWuep1D3pQw1pZDHeHMLt27zn7wIbxBtHkFxnqlptJ
ZXrZAek75FFbvLZBO+xFNiQ3mjLQIy1iIhPb0XzzYaNsC83y13itFn9G1RZPIVuvjZ+foXdNaaHZ
6SYRyuDNaQ4coDfgDKvRfC0ag/XNDtFD5JOSMkUD3VMalTeKWDjY4okwDM3kMss6/1bEdnjdAUwN
b2RQfkGDbE+p5h1HVR8XompZTC7JCg8EH8je3EGiVTQF1+I0WMX0jHG5v6prxWJtKzDUekST9/LJ
MEiEzfSoiu+keNapR/rENN2RwWbtDLWKAEDvp+oJ+Zu603qgCDPyJA8roFOX095qSxwxuR56cl/b
+kVfqvUzlkADNz4pSpxJ5QbLY9XjA5uiXFU3k4INbAoNuh/FrF3PStObW9FjkSrM+LWN03BfYuCZ
jzqpljurAhd3jc9EWU+1ns+qG/JgDsfMTqdc2ry/CP/bS8LmrVgiDZo/LwH/p1cEXt9/vSIsByYv
egv+7rDEH/5zRTD+W7YAefyjqbgUth+WBLa0xWwGznux3/+xJMCCpQcp6CHSRGD+yMb4+2FJgIll
lYChgVkND8C/NUtUyJj+WD28rwlssJaqcmiysWcv//3Dlh7FcdiEJNYdccdxjteTipfW7Qw9Idqc
wZdwlX42GWmQSikY8ufYq7vCh1eUBwcVwf1zEi7SHJoecvUUm6miXA5KQ8cy7qcSSVWf22eQ5vM+
ULs02lXtJG5xPUj6TmnkWnJsG3Jf5qv+PpkMGdVNksTKTWTaKaDVYE6bVzsPjOFYqyXukwXz0zOr
e0P/jgo5j7qU3oPVMUJbnnb7/cFvq6ndaaloJHAiYTKvfHnqnmYNGzsrTShfCJQi6GYqqpacsNtV
ONqUh1Xdrjp5ii70dmJw5s8lWFjbt5+7Bm01ZlJ/ALCtoWxP8rC7DIX+jJPuify519hAMQWMCHiV
ob+VbfYGpQqDZ59V2k+Mmy68AVdUwbDLZ1lft4nUPQ1GAAdFyFHkDgn+UMvGB0gyiHWvSBG5tsng
v46QHLeIO8QOjEt4YO6bbROlNk9m1cHsK8tqQ5e5cOuelSVL8tHVrRIPWY212u7RxoRN6RktdMmh
8bFgZBdWZ0OB92vzOOn6vEs09OjgB0gTgz4KVTNz6gBykwqc3C2aDlA4/vHSst8YL0obq5+3qWKf
VdaqzeQPcEqbDA68j1Ib5MeDFoKfSYYZKypUAMzwCG3Q4rWg10+JOrYuBr2R6Ipl1qeb+irGDHqm
uZvcMLJWr0Ed5G+xrFGeV1F+j+68JpO2+plz6PrNnfWfVUulvPx61doXz1UX/Q1wafnT39ctlLMs
ByiZlppFoT75Y90SCpkVBjsfU5R/qCN+b/JY/61S3SCcYPTyD/zf7+sW5iMLW977P/ZeGv1e0V3+
VqJQDP7LippB9Kdla2kW2dqS4q0xe6Gt9Odly7TkbBy1qT5PEoVB6QjMLnQMcyumjR3m50jjSBea
4cnQIaiDqLiC10WdEMjXqq9dJ3X3VsgsT+MY7uIezqqprMFsHhImg1JPsGZOokUOIFaYuPe18WXC
3S8zHXXULjtR/639wDw0obQuJukK3+adOeX3Ok+45Ve8KxbZrha99XyX4PMIJYkJY6judCv8QRYs
BDr5CoHYqSPOmeiB02hiS7KN8UAM9kavFYK2gzud5FGJX7RK6+HFjtqjb3NardUnNWARbNt97hsM
cuyLXqtOfhiebOC7NlqNICxPHYETaoFfdBT3pqZvQ+Jo7WlypKQ4x0qMoU9ZYbH1qmb2QrmHl91c
hmF3DIbJ7UEQaeRCEsh7qqEVJPavhoThVUZYJBG/3X62rWcYQfidtPs47ndSY3vQm1DVzxspjj2M
/I5R1kCp0EX4Y3RebK6JSdJzbNzpTbadp+Y6s9qXXIwnycpPFGOH3si2OtT9rJ62XcUsJCh/mXGJ
ywb7EaNjNdCuzRBJiSWV29YEgaulwzHpTMlRJlymfvKsFtq1XRpuGPm0qDvz3EntIRCZNwf9rsZZ
T7bqdWxj9Zf9H1o23ZF2sTJQNDgVGaV4lzUn9OWKYXd1hFo7rI2hIrAZAa5XRMaziQ5sU1YjOCjY
ssFY3gvBapsN4wsiB4z1dc0muPqN4uU3Vh1vKXjDHU7iOj5r80zwUEx8rLrp65zGPBN8rx+bHQGf
8qaowMlIVnmdFG25zw10MU1F+KmSKuqRIMze6yeFLvqI74UdUXhUe/G1UARFskzHqYV0miuE6cLm
XPGTZjdH8uKSkWI6cYkDq7XkGCvQoG3JGNfB5043kTZVHrrfEXwsvpm5a0uXdpCAvNjcMfnCumzQ
eIpTcRVZIFxmaF86SjpbEreS8F8hqcA40c6z0NdanZwAYQ8s/72rpf4bU4ujFbf3EhV8fKy7tl/x
/+3cCuigoxrBKsqKK1Fgi+ogGzC+a8nXINh4Dok4ikvtJcAA6MjY4lALV53XaPYJ6BTJtWACbQlj
b691mdv3zAsSYb0Fpf2UT+JO1403vj/6l0Ju3GmCDwK/OXDCDAc2ITXMYBNahn2pbMu09hACnvsw
2zOE+KGN06/OlAl+sPaYdzAmSSQsB+GPaCZjNUurE3tetYZcQSetk4xjkfo3hHoETAeTZiXCXvU6
DcnUoOQPCE65ylX2UyosxkzjsCT8Bvk6TsadL6WbGKG+a8/941wwdSId9RzJ5kvYo9fUejw4Y8Zz
axpb1eh1/jJlNEe5JCqxRuVDvr0qNn4hHlpyjBHdmww3GTkGXUMzMHqYApV/XNJeI78Cf27j5Ora
F6mrF9IMcAlf9qrcv1fR4LoTg8dZ4JfXgBarnSRcra0hYtflbTiomSfH04Rzifs++v6DusCi/dI3
eb7UNXPqihJu4BWNkolpHK8lkRtQ0FT1VyaLcdP7AUpvKO1RghFsyKodkdUG363fl1ZzHjN0zLj1
sS6ouyGUT2Hb/8hled8OADxSCepRJGFE61CqJqF8MwTthZ6Ht8pkosKIiVCvY3TX2qB6xigdIiZ9
HAuTO8J9yCfOStNLzRKTVhgm+boemiB0pQK1GvZJGatcH+40MlrCFAhHLlvSRp5RgE45Fs+8yZAn
d2KPvJm6s6EUUsb0KiroO//nBPU+ctI40nxRi7TPgD7JS2r+2lRZ/vJDKbJwHZHk4ccx/jxvUqgq
kHGAMFOXsxCnqz9KEXkx3XBOMvHxvP+nP0oRzkHm0myxDaI4/005pvpn5AEHNYtpEF8BosfS95E/
Nd8kS1KTekyLc8cUdz4yeIYzpmhyLFYtkRiXVNU9E/BURyxWXXaL8CMIh1UtstteSQsnU7JDJepH
9Gn7tMmvowxJA/glR439o6XrR6TN6CnMYROoBEXjhjmE8nCP5e+NXXska1w0g4s8+koPaNhkWuyE
tPc7P0w8tHmOmrbxse0kB4IXPAy1z5UXZg0wJ4cgXQ9IChGYwXeM9iIxWqa3uBPJvOltA51zqcYG
lHsZQILRlzszMrNNZdp7g+hx7Vb1W3PBKA9xhxYLT+ehjqPmMR783Ot6NRPrHhsu6sAONyIkM6hq
tt4MK0Bekme/75DA+Xv4lO87Z/a+i4KJfek4jJJrnt+by1bbhgNHj2XzZRcufY6f5rIxx8sWrXbF
MVo2bdGgsUGBsKpmiEAhO3vh93eCnV6q513Lzt+bmZv3w06bcq+nMhgHnZ4sifQWNUOdimtMpc8l
mFhKB8kp2u7YLWWGSb1hLYUHTpTrvpN2BhVJ7lcniwpFqOhDpWFLPDL5Fdk2oJIJ7PyUUdl0Rf0i
U+mQebgVVD6J3aMGNLc+XjAjJAWtSsublFrJzFHHlfJmoIaqW8tTR2DB1FaZadALsp5tq9mnS/HF
Iinotf/KlWKlUZ1hmVgNS7VWstMXDanqzSUyxseaqs4kSr2kysupgueCkF6qP1ufT3mjbRuqwnko
jj1VopblJ+6lW8bD2qaKjP3i1FBV4rRcd1SZsR5vwIg8QVlZwys9lmr7EhSUpcutD0wb6SgipEzZ
WNSvyrKNw7Wm/qSFVsWn2hCU3oPbztKdTgWcQv2lNEOSl2S7hhrZgkdiUzPbWkPWSHpPLMpdIYfX
LbW1X+oHlVpbUHPLcZ86xqQcBqpxGmata1OfJ9TpPvU6KWRuHVLsUcdLEUR+6vqiySqY9fVbbYrr
3h6v6+UI4Ae9fmVyKoiMgeOBr3EQFqSl4gbbkanAKSIShcqRAm+Wo4/VWTb0w6DwSHWAPdO+kdzK
GEqvbOyfUzCegDl7WqaSSBFcjVVreCNSxz5NTU+tqqcWTppUqwbuK3+D0mNCFupjXE2PA2KTtZV1
t5zzyVRY3MNaSw1RzNR8BPE4aqaZrhTWo1v2Uk5xoRzxblxrGH84P8BMiEfuOGFpl3EpbRo8amUf
F9uSZA1XatARY945Qk3YwBZ1dZsSZEApxNPB3RKC40bXXGKAntxcay4QU9aEtzYXi3Bb85ODWi3B
XMMqM/BKCyhMQ5W9llrGzZglD6XH4MU+WXPAwq/01NoVbax6dYHmOk+YwPozRyEJonghC9sVIXrU
OCoPWZQiUSEOAfD1Q4sny0F9BJA7m0/dUuYm0U9DRfkjWWLrlzmhaBG+pjzur41c/GhtYy9B9Lek
Ll1ztipdvOVH3VagVWusAJmUMogtSQUUld85A5rnddxNh6JSBlzd0Rl81V1vdBwQwvE2MFCQhQob
vcQRz0rOqOsUN6zoZ5C9ifqOnFI7Who/ujQcACCkF6EOG+4/e//73r/kT36x99M9PXRR81/nF9xQ
f9dD/VAAvCfcCjIfbEEz31oEF7/3UOlFsADIdB3AlCJIoE/wewFAjq3N3/yTX/qhhwrblM4F3FE8
Gb91Xj81H75qRnzuoNLBRRdAOpfg32NM82koWuNMbihbgjPGNAdEegRN+MOl+Uf746NO47OFGM6P
TRwX/5BB28O03nU1H7u0mVLIdplO4ylIzB3NR3s9ChHXazMbj6MKHZrYvanZULuSZyCVqK0UkF43
AhMUEnbem6NZm3YDZMKvjl2Nn9HNOkwJR8OQ5HGlNR0BOzL65nnVDPKqKAe53CZhBpWDVsVmHCv0
BQUwgkExlA21NafcYkCoYCDhynvjMmaEsmFJx61bBKytCN7EKmA9kHAzE6x+A0Us/JXFbb9WlQiN
gms1srRiHqGJmIYg/2ulsLwoq1DLZPWmzUsMnZy1q6t25FtE1QwdQdEdaQwf1FIhwiVEXphy+kjs
ZKf21aZHLD90huKYrXTqwv6Hnqi3ld3c1Ml8APPxw9CJwbIMcv+SSDtUtbaCwXwIQ3inQZDslBop
aTAaFxjvoKhA6iIwcSNHMB9lzotzMe2xGz+WcTy5LO/szEV1rkG+bDnj47eUX0IDDFpYqqarkWwK
ilR5C9MC1CJe7KmA+YaiFcyyBjGkHUfiu1R/vsCXd9H70mbEg9dCadlQKNZepJLQORO4NETHjNbo
ylcXJl9Ybua53mH+vA7Btmxiwlq8QEpobiymjkbZ5c1Yr+owuynq9iKkkHCkSTZepz7hLFwHgysL
Yz1ipMQqEa2wmTBnQpKZ9f5uLCuCywgqBlq1IGQtmskWEJUg1m90baIeHTFMErkAW8u3Ba4FjYbu
1B4ro5dc9LG7PhlJe0jlN83ofhKiBkI8NbIL1WZldsJEj67K3Mo8qDoR/Fy4JXQgpb1Nw3+DwvOV
5KrdbEinVjHv2P4Xwr+xbOB0Ziy3U5XDnFlXfZ5DyRMeYItVo7CTGCh8h1RsLMgRXqVy4fXc3DZy
f6/M6DtLPfBQKj4xtzsWcqvi0Rv3qMQuZ/7RXsmPGblMswbzvJSeRYMsWhp3hTYfVF/a2uaP0X8q
rHmPUcBa63Gwqk39rpoVZzmo93QyuhZPoJYlB11Ml4EfKy5AYUrmxH5MA/G4HEEYZyoHWyPRYNDO
FQmgmRa64dyRwTZXa3wlt9bY3GmYVMcAUYUeBpdaD04IvtLCC46Imkh29GNTZ+6VH6UU3lrkvcGb
x4I0rJc+mTDHfWVL+5GsVLiuxp7RxiY12GzBK3tqoXQ7rdPaa22IwbaMF3osP3HSxzKsIl6zC7L+
hFqSo6qNyXaUMvFYDJb50FgFxcY4TT4OFj+5Hn2zoWWaKisNlJAjRW3oVVJCu2aJ0A3bCeuUAGw/
8FoQsKVHp06bcU6kdQ9etSuN5Q3DWkl+h720gyrfeplxzVMVGz8kOhOrvjFoZZb+yk9x7rea3fAw
E3jaww+6mKzFOib061aWa0etoPAFPVZTKGsXfTHdZGUyOPFQULuVTbBObO3BMG5i7rxXdRIV8djk
e4uu5tEH4b4aZ075HJtetABYv1FNIa+czT3Sb+UA/3ETT8kmmIJDnCkz9BH/KmmLF4zVbkzghhVD
teRgdOMb3GW1fAKWBCYp3vZx+8ushzO86ZiYQVyh6pA+kmm8Dg3ziXax0wEOxeHCrMUfYBm3TW45
sTkdGl/3pilyYyx4cSV+kuQ30m/UvTjvH3vV3+hai4k3In6m1dZlzW1OBlwB5r2SNz/0jga0UiCN
HeObMZ0OuT1s2wrKvTTE90E47aKBV3Qcj72fbcDj0lxLjeu2nc96YzxCLz0VseZaWn8/UAwqA3lK
5tyve42KfZRrl7uxyo3kaa6iBjCQsUHuRYWW0qZurQiK0MgkDQyKG+vGDYZ4rmCqMBzKzduqj/at
ire9iWQ8iCHdWiRRUpRf0gxqt0Uc3OtTRYSyXG91oJAsNx4dvqOa8+uz0DzAEQDHFOyxlD/aJfGR
c+GW1GwAZ7dJxvCp8TMsQckzp3EPk9a2S+fBqTr/WW6TPdfai2YCfJGo7rVuumpKma+pNVCbpW2t
G0++XO56uvsAHW58yJaIKOY1gcKczqPwUtbGX748gKCZ8ydZo8gVc3S09ZQ0xeo2y9uZg0ix7TFz
bS07mw4KGJpYiAO5Yk8GcdNyTVOQBJeW5DJZIaNVGy5lgVkJ16K6Sqz6IYe+s5Zk6yzbiK2HvKoW
HTiC6RC6MiEvr1EqZV4lB9LDUBo8L7OSrsA8+I6qRenPsY1MT6hZCNYG6jhsCv/X10UIM+yPMjNK
kKVfIgyqEMILSST/88RFSXSFGElfOsUwP5Mfif2i6b8pCf7lWOe7j/g0i554io2k4yPkBYVF9748
j/E3iq9PSql//AzY9dSGJGeon36GEN2E2jwKzvLALm+iEj6M4y02va+v1p97QkvBZi/eJIEC1ICP
JzM++1iwBUU8qWbSB+cuo7lBz7kRi6DjrtMuh15xjIamp75//8z/jDSX6d6XR4n2+b+c5/rl+e9I
Qcsf/95J5CCBqIKwA7QO3JPltPDPg4SMPkvINoBEyIlIfD4eJHhdIQtZxmIPe89P+L2TiD4LRRVx
m8gnZARa2r9j7P7LQcJGJIJ1nMcGvaPx+dFUQ0UaWmqDU5g9zc1pHB8/XJa/O0Z80m/SqaTbqYEh
gmokbBJ5Px1VOr/RWl8fu1M36ytmV7/QLp9SP77W6/ZXC2aujuvIyzQVdZKU7/BabesqXnVmSfdP
MopNMaib3Ky3UgMysQvXWlP+lMhAAIJ+oMc/YoBiC57D9Kz0ik4XoW8r9RxkHBY4yuOL5SJiKq0I
+lTB8mGalvUdcYQ+cyWZMO1l/UJrZnrasqiRL+A7+HNTDiiCieqy+MXLMmgn2mu3LIxUigFji7C6
UJZlM1Css1kSGpayotrL0qosi2y5LLfxOCiOuizByrIYT3V+0bM6M/ClchOevSzb9EKrbcpKjpdr
9mrWdp81njxikL5AG2dWf2nZBojP+ZUl0hmYGnHiwEHWaFBIl2xvTNTSEnuJWtnEkEnbvOz27bLZ
QGS8GhNI7ss2FMy1RxzNvjLNZ1/BNg4aiOgFyeuS6LldtrLG1Og7WNs0iM8Se52OfBgo/WPDHmiz
F2KCOWjL5liL/pjihDXYNeuy2hrLNlpoJPouG+ucpJf1stU27Lktey/DPRTrUrzXJO2WfAFycZaN
Wp21m2jZusNlE+/YzadlW9eXDd5np5eXLb9g7++oAQZqAe4FvZ+c4xwjrf1IvWBTN2iF6g7UEQb1
RENdwTnrOlwKjY6Kw9T6Y0gFUkzDLhjj+7BnKJdRo5CgcCAE4sZYihekbPeCakahqiHlbF1Q5Viz
vpbG+ongIZqwrQ1XsHks+PG4f8aNNM0/EyqmCW97TQWlJuOhBP+OHT1A1EcwGuXJUnCZnJCowHgL
gBfFj4Hv0wNv2ngtdR2PTfVronqz4KlrVHMLH0aiumtAwsD8jxnU2q6spy/zUgcuBWFIZZjEdQJq
jmJRk8zbkOqR6SZlZBTEjpxlL7aSMcNfik1rNnXS2ilAI9iYnlQqvUeZFFOjdkuxKomavMClgJ3j
4UamopU6SluxFLl6NVJsK/r1uBTA3VIK4/VK6OerDUdoCmWhRf5qoHYOWoroiGpaXspqeymw66XU
Dt+r7v69As/eq/FskhiSQ5+PTuNSrlf0eEnh7ZgXEMDqwphYyvoi9DRoXHRsJXnVzhoy7OUgUBBj
juCoky/QOy3ZA0S9VvVFyxCz1Er6DGhAHVJE6EOIqtlyjoxXQdQdDCUAVpOUMPYJU/LH2V7No4C/
oqXlqmirAgFklJ5NlKb4yKUGGgC/2PfLV32eftS++mwm1Zb1DWWTQu4n9DOImtLBZwa+TMp16nkd
vREJ9zeFjp+RE6af3ndJfj309eAyKQKxD0tBEHYaa55qKp1XlPkFOCcWRIUvbQ5XeacGbknDnzVq
H1T+NlUXCCb9CKqFlJZGqMNNSuX7hCG92i1mDj/d5GPypMW+7jTRgiAjX1xpSSTwtch8KQemqvNc
NfBJqyG7JYZxWPeRulFNYBTqDH8wtGbOD1FUH2crOamC/ovdXCmVAbes4dSVocUCheux5BGm6HdA
DfGFpFN/R8PnNhOZ28GzTcmIJT9kGtrMZs3p9oNsFE+51jL9iSRo5yFW3K7mNE7L36tLQzvT2KyR
mSbkD/dx2G9yhBEblv7w3q/4BNGltzkuYKINiYvtpjpmFBGccls33BRV865LiJ3RCvNWrwoKHS3m
BJ6JpoL54/trBIW3hj/dWrk+P8x+HoEHwEypgxBxzGFctxzqNqXc5xuiaKBk8YdO3evdQx2l1nq0
pmheMt1DdqWw3WooF5xkKNcqXAYynYvHZSiVQ5sYTVJ7m+IsT+Y+qaY7OYxXfQSZtijDuy4Vt1ZX
2aS4jD10nbj2Cj+d3LLDi1vK8qOKl4ypi1Y9dEapeOB+QfeEPOhQYXFF++qDGO32xhf6uLY6+Bwx
QsHV19vzX6pfKISGQqlhmzp4IGMpKT8oMUWWGaoVxPmpTcCcjRDTjeFqqJv11x/z2fS1pBDwORry
OrzuvPafi4DWnLME+eYpI0ikMcQdq9KllWVPLJeIlyebGzCl234s16mVbBsRHoifAUaSX7BSHXDv
oIpMrkK/uzYqeaWGMGNsnEqB/1Z0BsNzXgFtJjpIDp6//up/e4XQwZuKpunE+jHt/XiF9KwrotZO
8tMA8TSYbhepd1h84yN6j+r7QyW/lO7mbycd9PsMkM1P94FjfDllSdefyiAkMcnQdvRPNHqAFftG
3+vgqfsHqUyLq5zklwmg1GAN2LAm/OO+CmAtztahNHdXOOvsG6Zvblf0J2zXnC4LkLG6iGlRFcEp
kqL96KOMGATvjZFxIJkY0F3rSvqctClO6iDazANdhkYhrymNEpIE1FepFmuCoTqXVckg9NRW3KJS
N3FYJxCjYREiEyfwRbxB1H0eTR3xhbwAq9PjNJsIM81Jgiw5xEc5LDNnHiGR4W2LvNCOTU+Jgh9+
p2S31UDfzFaCg56V+roB5LI1FCINCrY4BWf1FJvJqpTFGYkxGTozpi9S4g++/Nxp6043d6yLj5aU
wnkdlO0UawSV1+EqL3PyQHCGq7SJZo3SY+Q188yAiSB9p23dEiySKeMeLf5zEonwdUr1jWwgYjHT
8Mh0DAVeU60JLEFVIsbrjPhO8pogkhnzeFGZzTcuLtRRPFWfnwdeyCWCeBEdLjLtj0+dr0oF+UJ6
ezIV8azaDaqcsk9PhoRGjfX0KWgwDuVN6CrGSHhuWjusqEeuyozrmkQeuEZHfPjOMIujXlgPqpaH
6ybTq3XXyQD3dAGdKKIZ2lu9tZILLduix4UJrkSVh+SHeoSFSM6K3AXVfRNk0egqYUPzD16eg5PA
yZlzGdmMJcd4thcHUK8Upltn4s4QE7UzvX21VTyjgCDA4J00scF4iC1jN/jiJ8haSOQDy4CdQoUc
b307Pph97VYgvw194gkpnW4SN3rfH5M4vKki0EumvTGm9sFKEs2hbpRXRtVRC1b9qunQf1lLlKNK
PpSM08NTDOlZ4plwS1t9VFTpQQlBW1QtxsHQhEMwAxGSxmKlaPVGZgxrw5YTJCuxG3mkGssu0bwX
Zh1zSXrMfAz5MAzdqkN5soHzNtg01EF+rfBQ5Cbwv4nvSa5TgjUdz/jBzI31UGheaEYgInPTFXZ0
lZQ0zSdrXhXNtDJSvO4lBU1hBJxLeBl7yb4aqvYXHvkFCog0qovXbduRVgxCQqCQVxTjYDSEqTHl
RXNHJKUWzPQOqVCTDqW24q8SomihNy6Yzks91OjeF6AgpQv6+V44MMZU0kcalWtiKnPwVpqnKOya
qT+sW7Z3fP7QoqQq9tJE2sSDdTHHyNdt0m8HhT5+A7gA2Zayjhmi64N16VvKNsjbi2CoDrmlU/W2
qXROy8XGmZp7LRguSoGHH5Y596bExDrI8TYsh6PUcEpIDWBg2apA8uD6w6Whr0y4j4N1ysa1Ma0L
ZINmf1/KYCkz+YisFkalrx3IriJNw/f9i070ptvoiuKaMSFKQz97JXXDtpjaxpsM+nc9VYhZALYy
yZ7s/Vr5Zmv75k19d4h+3EFDe4rtMungcYDcb44ZevixX7qs56Q+KpxYvt6PlibOFyvD4iD7uDKI
EDdEnrEyFMUbzIZ+RGVwyIMHJJZff9BiAfvLJ6F/0gg1sUzkusvO+OGXDQ3chFjuwZwpE/mj0di4
kS9udUgcu7DAWZuM/UVZRpiUFFk5WhVxbEZc4H+IiWUd+HddZiW/0C5djbnKZEvtfkhRcS5k8yal
fOPU47aNuBlp4np5G6yzNnrKY+1eCtPyOugYTehhCFFJ75bZAdk0ympSIIVQ4m3yVjXv6azelDPg
RFXfd2q7i1SBfWPa6aV9HpLgombbBjh5kYicl0lauO7uWCr3WVmvotTfDSU5aOkIt1HPoAVDxEyH
4LEa7fpeBD62kEYNvrmqf+63/LbRf7yoS6vww0VNDGZdNXjvkzU+hfPLZP3Wj/uX7czv/v1PG4cs
oXWCFzqdIusGUotTqXffPBZfPxXv4OkPPwB7bCInIphOuriMYNFxmWT0HF9/yF8bpuQqaxZjcka7
i+7/z1dpNBuayRq/wobv3762Q0ZNcheN5jd3Q/z5GV+aUzoZoLrCVmtTmiqfPmgCKAxLsBQnyphX
NjXvNl37nrTqnci9d3Lnfme4/eHlOnLDH+Pqme73C290s1V3X/9gsbSAv3it37/oh8tq95Fd2gHL
SLvuPdI9V+NNt8muwrW9st20XisbrvMavZGDzGxlI7tZaaf89etvof/dt/j4dH7qIKd+k1oC1Mrp
YdyJFcF0a/vSdM4NEnVvc6+7B8PLNvYpXI9bYr22t1iyNuOWdc+ZN4XtQBZ2Es/2pEO3zTfNOSQQ
0Am8H4XTnWR32ug7e1dcDNv6LlvffP3VP3nK/vpifaqgJdFEKaGEPJcO89d181auy1vFq1yiVbzQ
g/q/zvbF5vL1sOp2usuBPd4jUN7Hp8Bl81mRd/rTd398/a3eCQ2fb+uHC2p8soxECHdryLjTKdzZ
TujOW7JTb3MYh6iWHQa2Tu0yqdxYp2ornmikrb7+/OXx/evH//EefVptWGqkqSmRcMhzsTKH4WKW
klPfycU3m9Kyqnz1OZ9WHeR0at/P6XSipgaX+SqP28F4mVTy1XBrleuvf9Xfr3H//FWfD5MSsy9V
r+LuhOOWk991GVz9zz7g05lPHUFuGRkHKAJcREwf0Da9rz/hmxvzbjX68LpLWWnl5sSLVpQnzGzr
UjzMnfXNXfnuOn1a3BoFymdvxu1pXO4KJGqGtO7/7Hd8esC6Ysau12TTaehHsgRPWTICrv5mfPbN
02V+WpUMP5AmmnPsBqPhana+StL2rKqdC83TjQdx6oFw/n/8LkR8mNGIcbC1Tx9JeIPql1HbnbTs
Vx2vEzWkybf5+jP+9vZ8+IxPL00a2I1Uhdp40mMiZ+SrLPumq/DdB3xaEqGMj2pcVP1JZtGmGZ0Q
CPf1T3jfH7968ZcN5cNzHEYMffyU55izgYMdd99vkyNHBGgnbrhiEvltwt0i6ftyrVl+9YePVOj/
Ka0I2aMeaAznrKpHIL6VMzyj1dn1zuVMVA5bt74iWcCxriTnul0tu/rlY3Wp7jm1g0lbTa2zzd1w
810A399u5B9Ll89PTlQPsuLz0innZSOXHNz/2i5XXCfZaN597uwh8l/8QrgFnPFuusCe8s3qJZbl
6aub8um+91JjhJU9UUt4ZBt4JFEJw7EvUu8aauBB3XTeI1FFTk7Hdo28fWO50jcr9Hdfwfy070kj
MQv5ULYn6aJwRnI5nfinviaK+qJ7G7flKjuYG5IjfgWPqjtuknPg/T/2zqu3jSzN+1+lsfclVA4X
u8AyU1mWZUu+KdASXTnn+vTv7yi4bYn2rIcChi/Q7IvBtFpF8uiE5zz/FG5/PzUfL16/GQXr1TyJ
UALoVcrULBf9gjywSSCqunU0/diu+/UaMdZkPMfU7TMpvrNkkS+ty2ZSzpq5v+4m/pd/FVL5eDF7
83n+Xu7GqyGxJQdsKGVLKeb60lySn9Yv4BeeBifK5N5bu4toaq/zFU29035q3czxYuJPVC+jxXUw
E0XCc3HwD3RvsCB+Dd1/bOJNyWR67cUifus7Zo9xHAYKGuxe7gZAO39j9sD5XBSgBBuPJglie3oh
/xLhg9O6JeOiIHN5EU27F8weXjCMXWzikA1zpwHp/wPyr2qLufL3XDJk3BkcxDx8BkgDkI1fnewQ
auUiTbLmfIwz2qyQsxD4ckRFtYWGBvJnGUPLIpaawK2zoLS7maGQ5FOm7SWw+NpyXPYlA3aIsHut
pOCE5PazwYK9lKnBtSxHD63cRojWWhpiUpfQnFHPslGQx2TTmyZVfpH2MpQt84ta6bdO4aFnwZJ5
4QqhniONixgXaoikROOqCAgtT0KLl4efDDv9kg/ZTetDSs0I15i6pvmpxD4kJTaxdqTPGKMSzmVx
vgdnbeSf1lnwpcrsZBIQnFJqxn3sePY84YtNhhhDAAhO7OnZXTIAjsCSGnnsEBFU3sGK6m4Glbs+
jjALXR/rmRpqtA+6ICYjwX4ofESOlHqnVR1/7FL8am3PmBuR/SELnIeici4Dg3wvtQAzlr2wnrtd
d27n7a0cpfdund25BSZOWXqPNSBxMlHpzZu0gwZqJZcIQ1cBrXw99L7EKmBoHtu0V01csLs8u+8U
5wwXm3qWDNjQ58JWmrQKjFULmqCUJad1BVKvu3R2YjKa8nIxZN1CLrtjj7gGQUccxvZboIdb7L4+
ajB4UebekmKHctLiQ/JHcuTSmHSdhRJCJiJQ7QvzyqRB5Tv9NwQx2Qwe4TKTXZmIRpyu0E1+1j3j
g14PmDYE0UfdU781qtmuh0D8OrjeQtea20SCjpv5cDPI3GtqyJVuU4dLOuJ3eOBGC9zmzlXfkJFe
WjFteyx9ZV3CXzVayBZAAWzzZVH78CYiMOQm56+W1CooqWEiYw20SQHn1Qyqinh4Ih3dpCAJJEKB
hvKDluP4waI336XIhAq9mOqja/Mk5Jxy3XPajxWtS7jmE8PCVssemcRDxd8wUXNv3pXjNURx3jW1
IUm2C1durkdbOw66iEwRNcaqtXC9mRdDkIRme0+KyK2NqRDGEvlXWcnKSZq507LriQaVgxW+O9I0
k/yVnErhTLKidCrLGT1qsspl7IIgm2PU6nfDRGvtLTmNp3aftQiLw3wOQE7A0UCsEaFAcy/pCQbE
FVglTJLZmKAcqb8SV4TapFRMoK18vCQYVz3RU9zKe9hy3jpWHZ8Myaj7rNqAwrDmKz/4xDC49YVa
W143NwmZXJhuIqcfLbrX2YxO8ahNsBEUyIFNUB0GH4F5ORTwDbWi9+5AHudYpZMjKlw1znNA4LA2
0YCROiejgvGJcr/2C1lQr43+Ci78sesVgTbHTEAD9bHjcdbbZlWskTRDpC4CSIIYkWgxJsSDBsEz
vsoysy+wTtHU26iT5eAshrDCPhP7yqw3rXvZaxpSNs2hpGzo3MzBSyXSjYLUbtXyPsq1FVd3qtt6
3Os1EikgKCam+wWmN/GOslomJO45PUbyj6fEP8elTtH+6+Py2t9U9ebtcSl+6+W4FIIYxTGp9VWD
6Fi0rX9T3DQs023ATX7yfCY+H5e6cqTYdJW5x+MUZz/KaJ6PS10+Um3A1ifq258adxivSkG6fBzL
PIXkAgOfEBQ9P18ZVPHmeVzEeJdbITkOQFiK3n1CvIGPcyFd5D7U7grGFdFKBGsMmAcTrQt9BmuD
treBmAXxFtFhlMbTVMFhctCcfFJ5HDa2trLjZmHW7jzplVWHsC7BUxxXP1JPNeWuMgjXgkuAkMGf
V32x8S2O2rrZojmcdwhGa3KVJoOSnxW9fm8ifPEGJwBvRH4rBUmzCvNyVTrOSYUOIMPzYFQxSAbW
JC2iPTUxxLS69rxTQcSHUg8w6VQ3MQaxCIdu8dgwFpZLwEoO+21ZAu5OMYeCL2FWx/iGkOpJznCt
ojnQwnnkh9duixtDr6HBa/P+KlV01EWkwSEylVcE28snGsLn6Wh3sIlSJZ1IiXXhaPGDGqASGVRA
ycBjLyUB7SNZut/ivCGvLe0ksMrwLNL7bBbg9DNP2zye+rmFJ2ifDYBd9pzT8Ng3apQlXXxTG6WE
HQ96Xju78jFnnqS2c6zAy5kAip45qUpeU7NU6/4qgGIybwThH44tSnr7myIJAYqaXvU+NCzddu7C
UEFmm0v4tIJRNrGWTAdT+zgmwV2UFrMuTlBo2BFU8CA41RXnJCzkb1U1miuYc/pMDZph7lcmaLOr
XTW1/9kP+fweymvMXUQCZ66vGhMJQJ5q+pyw6W0WRhiUxLOOJBc9gIFD1KiJcpD3kfuKppWTErrl
35K8+KEvsWnP7ByqjdYsPY+mVpHWw6QGmJ91Ib8XayQ1KkmkL6n5LrLMFsUdf/cKXaPSF7C+8jti
Bk/rMDgtAydYS5ASp4YJwK6rQMJONagIFTXkm3VOpZCd4y11CqZqreE7QQ2sAqSu2V0RFgEpFsDC
TVDOej2dmh0fFFSN9njcrgpFvlTVapobnbCEws7Ka9ZVmt80UrvMqvTMz7KFbvYOcF1A1k7VOnPd
7MjfiaEA2XJ7C41/W7XY3YT9EqkkgdEpETGpKTg0fKvBusyKrp4iWr62o3hRy8cFl7T2zJWCxSA7
cPjSC8VIL9UWgpQxXkgNSpd2aAn/QWXTkEPWZP44UxG7gkXFmJskgUvclu+i/jAZch4KepZP4ZIl
IKcNDW25/eZHfTTrEw0+Vi6WalR97bF5QOWMG0zfwN4pwqnbOM4SA721r0ADHF09KScqMdATO3Vg
BBI/Tgac5hJK5yNqlmxtUaKn8Xq/Ps7cKMTBQ39oDEQUxP08ZFp7W4zN/Wh1IXgwJ76ndZcDcWFT
bK7wx6jNmj6X2kJdbVK1PFG9uD5h7ylmoZ3jgtMXWKakZKQZaRKaCw2hi3GDn7xtL33E0cuG4GvW
UpEq0DD6cpzbDSkHczuViNEsWtjAK7yT8P2jph6DcylNhubakROlvu6cUtJOmr6hV2+ksX9bjrra
XkR1vso85Kp5OJBZrkf6IggMIvfkcaOU3ofK1TD/j/pjXU+bRSmVeNZI5olh9cGM/Codoph5X2RZ
hczLxPI+1G8jyYSE1qL3UuTRPNYyJnOU2pgp6zptEiP7krv6xg9LdVbbsFwhrX3DOgYCnJ/JEzoM
6JW4qMDPhAY8RP3ZQLphHzh07HLpTE/LK8ltThI7+9IG3bdRgina4+tRKejrvNwgrlHrjxGpGHKH
hMXKN0GUfTADF3KsahBshxM5iDbUSDU8dyvnVAqHu9hXv42KzFM841vUJhiHBDNpPFaHPpzpBsIx
r/wQ9Ww9si8jXJr18UnsW2dyFMN17DMRXrX2NQ2Nk0Q/swjGdMJkPDetCEat4XhzmXhVRKnqrLOM
cRb0zRnY5An1ljtlFPKVlRZUqujKlpresrfrOWKzwJqPUKhQyUkf62g2Gt5ntawAzqEH4gUFvcuO
nI43x2XFiZyVNsLhGfsY4T++T2DufXaR9Dk2CVl3mts15Csb3xtPsS6CLj0joSsBO3UvHLR6VVKt
vKbemE43zNU2uh7QRM7HRGQfOhwgRtjcuE1DFmSXfs7i7DiUCAO3mvEWPhwE7obonageswl2hNK0
zOpt5Tg3bNALOcfhOvHrieppK5qXN4h4RMBoP4V8ui467bK18w+OkX0NOOggTsrnuowUzmDdtanu
YrullFNDLtceOafsup3H1QUnGj+K1o4xCH1lOiV0vlhWRtBNA72CMNxcUoksUrX+1CYY9ESFD1wM
uXNo9H4eyUk7lxW7gAHu0rXy+KmF6H1mRvAWJUlZmiopaDUDOsXV8EKmvkfkUR8TFl9OCtM5tqr+
BoK3jB6TQ5AtC7eA0VtKnXISp445HTryT7HMjE8Iu700FUIapAqKTZ3KyXpUY01wHYgm0gqXFEsN
1kZwyYX9k0SU4AKzLoI+ApcNzuhWY6KyJAz7UsWdD4oITjpm1t9jCP4ZyOSiSq17CFD3vSkv8sq8
zSLvNvNyc1aTuOIm+a2c2StNL687Wz2BSoOskLu0HPsnatltPHwQG0vdOhHGik1wNSoWPjy1fJ3q
YhOXDKyrSv+fsvspjEh4hf+m7A4qUjOyZkfhze/9UHjTWxBKERExRHvpp8LbUhw8QGGRIiT5oU+l
k2JELCBdJMpuU3SQvvepKLxJDoKORsSfTJsBB74/6FORRPWqTwV5BNE7CAoyFZOP8qrwhjEMs7Ek
Q7MvZRZYq3OvzHUar3rHVZKdCL8L3BrlTqbfY8gncpxQVJqBFa1jW85uA0LKzugYiOBnrbgO2ThW
SEmq8y5y84e8Fgz/uA1O/dgaLPYqdIy5I3UabD6pv6zKpL4oQmiAkmwiwYBJa0OXVOiopG56HtGj
ebAl/8PQxwbZo6iCVTxyliOmpDe1PRh3cWuxFGh9nNWVb+Gql2bFxGqkaKEYQ/YJtmE98bVK3UL7
jm8NOU5XnoEtXZq71abFkHnuy3aA8YzTLa0QM2IU4vlVF6bzuAnqBYz9fNZ2it5e+FKqt/cZTlH6
iZK6IyGf6G8bGOt1I211zwn9c5+sXEJ33SotLyyfctHylN6/9kNHpPY2cJhHNiHR/XGkDKW4p/u9
vshiRLWYtLfQwWe0/OLgxJRSymVcTIevYasWyVztHFxM3f7OJOp3M0iWkcGNM9OF55vG8dDg2lZ3
2bjBxF/QDtVAhvBFrlTgKc7SzVvvKzMpIE96HDdu5Y9bM+hvS6lYpF5wLFlZNUsUaprOKPOVlHew
sG2lGZYRNGy2PNJJo6zHJg2abQ/nPEO3HXReAF+xxgGoaBMK66j4rFtBvI4d5UZjg17lEno9LIna
iYFp3MoMK/Pahly6rqXaucnlwjzHYFWeYfpB/JxaG9lHt5LxCm5j56tEd+gYiyIiBvvkAhNXaVbW
Lb5hklT18y4uinrWuwFegFJWrYfcTT9w+8U0jyrli8e+NxsdK7zpKetOLWLbzkDywjvkI2TyjEJU
G43Z3dj00gmTF38zS+TreqV7a49Jd5OGZTxvsj64xjUmv/TbmJgcGNSkHuo6ZMOq0vFJxES65sJo
VDOP5q419bD7w32Z7Re+sx5rx1bfaVeDWdp0JzNT2eZElC+KAF8+h72dTD74WP+0QJ48w4DIfrMX
4zi0LXfsxPzWjzsxO6kQqj56grFJf1f5KUcOpTSEJkG0J8Xmb8TAoW8itltI9s8hNN8RA/sIxaAI
/sB8TDiRqX+yE79FDAwYfGhJ0BmqsoFsn8/3I2raqlQ3heQMF5wX1QKaWDqvdLmKAIUxDz3BprEn
e601JAmj3jQ/67rmWk6MpWFHiGdKvPICXzZO+5QKvQ1V1FWVfswZIk/jQasWqlKDLcI0X/XklV6p
OsIilFPwTgfPWFZhduuMSjiVDPk+LSjtFX+8SgI0Ym6HV4UEt3mieQhj7bidplkrqnMrmgZZN04U
2+NmRzz2NE3Uq0iT4nWbdA1OEMZcLn1jJVn0YykAq7XCDo2xk5ka0yCPPgCdbLuouMY87zRPsEIs
ZVNah5TddNHjeDrWTn4hN2AYqggs4ymuEp1h4dJxbcb7sU/jmds5ZzKufjgfxoTStldyNH5KmvzG
CYsTGvxfZAkafJ7wYcdOneKceqob4kwjHmzM7YfRQVQ0DFExtdX2ZLDIeSNnrphKDdCjb/YLB0vL
iEOEbSxbuFk1t6TiLFXz2zDAScrSchdn+aScd8bwdQzUcyWABNtRBAe+F0/pohb2ZaXZ0rCUGuFa
6fN+yMYJuC1xYVHw5cgzlDX9Ao33UqVWbhQHNeK4HW2OJsNqT9LeIL67JO21qjBXShtQGT1B5gBu
lK8cD7lhp+qf84bQTEnzZoWez9texWdy2Lpwn9F0kpjnesKYGidLL5tZEQ4htT5mC0Wu4zM7JiGm
HEza6CSd52FOS2fc2EVFug/dryl+JVih6RUWH2a2binDwzC7auREnphm3uFpEi7wrDBigr3Q+i8b
xbzqO+8zfi3OpE6qE6+sY8zVqNNtivKJTZoh8INXz6xhlFdWnAbzLIHElglSZ1A4n3KXJJHEK/Cv
NE/czkZSUUBCrY1gIw+jSAzLNlbPFY20pQCAzB1X4D36rCMHfZ57Oh51aoNFizLmtEnIw/Fq79py
ATywbFJXyGrOajfrp00qzL/6UZoEhUVfQddPYqm7MhX/LoVhMkn7xJ5jhHCamOqKEAU8oTyH+Peq
msWSSnfMxyXPY0dHIFSDfmCHCV/1IiMJgVsTcu4uum/C5nOYaF/zAb2pTr8NXviWTQoXXQ9jbcjU
LTrXOSlBJaKOtD11hupSy7WHUIfWXeX+SqMQ6ELnvFfT6yCNw2lijHdxUcuTCuerhW2E4SIX98ba
RWKZFVeUSfEkDKNtOKJdHVR3OTacUGosmZNKr0h38ILrzPc6FnUQzwl4/Jx22WcSDpDYt/qmlMMv
ZNFixVJDVc8zYnqDjFyHzP4UltIJer1jHA3kudwbc9PPj93MwEU2a6ZkD8DYdaQ73NapqLLTrEwA
1KCLTnzPuq1H+PSRpzmrNie0oErIhOqIuUMy4egXapTh01DQ7Xj451h8PBYFR+HXx+LHrb9JdiAD
4rd+OBY1zh1D54TjIBPZbN+PRYEMoKciUUDGvBsZ+wuQzi1EN1SsLQEMcMx8hN9fgHQHgy3E9OIC
Y/FLXGv+4IJiKIKN8yOQzgcz8XLmvdDYmOKU/elYTGPuLjEf46J1/KiahZp24xkypsapdNzE3lxh
F5saopXgts267wZlkiWqOVda57g2InOa0+NfeCFaQykrlk3IdEwV8OXMTOZhk997as+UpYrvXTDS
rJFmmtR8qhBCfhiwtl6apeme+vpgci5ZM7NAqp4jhDnjICdx2lOh2lrK19qtvsngrCviSFnXoUKY
eFZFc3pDHwalv6IfYV4V5BRMvagj/ypOobJwjQEIowfhgSOi8mKzhL09t/toEXqNRISx5c7DJCDM
uQkeFGyxOfNaXKdqvO9WJpHDnMKjO6k1lA2RmyoXrkqyat+k/DvfSVcW4tdJztuPAdBpaWEyAnRR
0sZ2EM5romOidWex5V6EmX/cp+qqLjnT6lTd1OjITkyPhZ/VrUF/I/yQGRWgX3bSSjLMKFNDN5Ow
ykcfpX/ZkKPV0HgpSYmZY5l7k4/VtVOWOA/K9tooxsuyi4YZkNJnrbDuszI7L6BjTErFP8ZI7dKo
3Y9eizS4owxo8RYvc30tN86ZQUjBjNAGE9Nq3VqisLsNu/gYf+67Pqyxr3Kkb71no6erQefj9ouR
Ots8tYq1ohM8Gqa1zanFsLQxdxXN9/zTIMClPEJ2+0VNs0t7CD9FspXgQgzll1SZfi5BTJgjrRon
Y1V9BpO/s00QAF3N5hGC5cngBf4UvOpTpmG+nsgxhjcg+rNK7j9m/Onjx7Zw0BJckY4ErprEYk89
vbnMRR8Z8Jb4NlrLel7ftrSaEy+FmKEpD7noQuNhJkzcVWyE6FDjk9MuTNG1Rifs8faYJzdgsigP
RXs7EJ3uXNfWkuh9e3YSTjU7YyHQGB9okOs0yjXRMXdwZp8rYRXNGrP61qW0lCp5SKas/Xyai657
MBKy6rvOhNswcr6ANeL2GfHwol/vKsWU65iGErRdei09fd/uLzSa/CrNfp+mvxnZawkQoFHXWFS7
3ZnDM3GWuM4FXmACHESJ+dlykgsQHY4ELRxmLiBDhDQII4Ftlda3iPnkWdZzbmZh7swryymnmVNT
Q4TpIovyM4xalpWU3FTAGlHhndZJnqwUAI8Amy0VAERvOuRQAhMp+/4iiVVMQOX4zgc/MUxu5Kbc
WeuwsE5VJzkPwFpiAbrYAn7Jogh/egHJeD7gDAhNsG7Aa1RwGwX8JhZAji0gHRNsR7eMz01ZXagC
9PGjzJn1AghC0YX7ggCHOO7wMmrqpadjMEfYVz+VwJI60/2Mb31KViEg5wjeNArgic4dRHyKpBxc
yh3LbSGAKnWMuV476koWIJYv4CyHYZ22IFwqSFfdEdCnCfCLNFcdbVtpriKQMShTJzpIWeD7FlZM
gGcxKJoMmjaa2kcXTAtPBIC2Ai3YBJ+1DxgZcjmmf+9p6ZUq4DkFnM50mmUtgLsitV20NmQegem5
YHutX53Jj2Bfbh8HAv5zreQqBg/srUA69kEIAwEVwvk4NsEOW5F0W1OSTsOCut5Mu2geC7BxlP0z
7Mqgg1CNzaQy/uaN7sci50YxKCJxRMCWvR8+lDkdoIzekyygTV2AnKmAOztPGlc1CKglerRjMV4N
AhyVBEwaQYXotWDeCPwUHBU3j3ah5+WxYZMulSq+Ny0E7Kp1EChiMzMWbjLcJmCzZDFuqDeDZS9g
Wxv8lmLoRgXPHa2MX1UxyWv1RQniSyzCCfSfVVi5OGswiWgwYJFsgBMPlnI/ghsbHnt2D5JMIsS8
UMotMOBZDdKMPnZuCei5GsjmA4vOMN3D1g79Kyi1G1Eag1rLXr3QWyYBLm7s3PmENos9MwTU3Q/W
xxzse9SNbVSzUQaamc3bWDjdccepQcwVDXivr5yL0qGlrYKqQ7+pKNkxhLZEN7hVoX855VWJlBN/
pRF3w8HbcHaW8yzwGzRZQzaHiWde2LZkL+k9qcuyKm+DSLk2UpJ2SL2+Uaz6LkQbPynZFyDIgAPj
sI74qFfAw+2vGoqqZemUCz7f1zLEbTG1s4fKRbjrhJhepBBFztMoNEg+Ly458/Ac5GddjkGJQ1h5
DetKw4QZv/3mwRWh5LJVPGhkeoShU01dyY24E7hnSm42E90bkOVk+Cp7Pe7PbkiGAqusmLq2gSRB
ZpXlAdB4kC2yxlsNZHCSI/1Vg2sDKyC9HrLRx6wy/BJZWExQN2t4Xi5JE11SR/A3cNtrxciVadEW
1vEoWeu8Fmb/qY47BaUR2evjAKSpVBfkbsy8IfmGIivDprm76DGeoGj3TmUtwKmizr/ZUgqgpDt3
nQjfkAqUzl5qkp+EyUqOtY2MXdlVaadn7OaV457prb/0A9xnsUwA1cDIzCnOsxhPDnNSBrLn4d5R
4J2NaLnwn/jq/x8wbJ4/4s6cv++2rOKnlxn+Mh+z+eukwP/Tf/RSqe5+0B8FB8pUyz9V5o8f7DG6
8LfPiTeEOTUPRBNqzhHeGTiFKbBVxYvSN85oyD79WFJUARPYVEzPQMUPY/SrUfj9F/ywrV5lKr59
zm8//GvGrvy6a/fvDAL2V5xXKpSl19+evhyIxjOZ+NC+vTB723sKWEdEB8BTNkl2Ey9uR68HQcW8
iwjJx7c6tDEwZI025p7LQD2yuAgYjxYLP315xTrCcNBWbNCzx9ehjsFr+t6frwLzyDYgutO8fvqm
zKyfhgJ+H05zMgYuLBPG+z88EX7sxBt85H9jDvAF/94JrSPRoAAJJSVVvGjQ//T1ofxD9EAGD/Xr
kGfCG93DvzMTNGLU4Ab+eihUh26JIqTD//mZwL70+lAQqos9twSNHhOpKkDqT39unvjzfGDfhGRK
RiYz5SAHQX7duPvzmWAfQRwg+sr41SDQieMFlvRUivyH94QdM0HmONtzJgDCqY6J+9PzvvhmY5SZ
KmKuGAKpe9w5DnM+PE3UJxeJ7+XnH5WLpCxSCMg4hb5aDYQ2WtyHHRbEYY/BUxGzzxgg/eKQ1OGT
794YOCcNThIFTPdQN4b9Cyb7CLKbA6mImS9er3dH7g0K8Rh4vD3txAe4MexfMdlH4PmqAgbxOOff
Xp7kI5gdXK8Oo2LatTs+lXJ7LAcEHBZ205YqpoN4vbk+6FwxdY3rw9PSO8CZsH+xgOgTQacB8Pg0
CK+PCIpHIrP5R2jnD/JwEFYqe56T+pHwSeCqRCaOeLHAXldMqgMbRPgaHuQYKHsXTICWjxaX+ttW
AqNjKkiG4UI+vg51DPYvErhMc5E26CX/Yh4YRwZrBRz2sOslAUbvuSSoFUyZ/CS0bY+v10uCsokf
QsC1n/pvh1oxKPuXTbQXCOZWZeu5bHqzRYrT1DHhtxxqxSD8X/acD/bRc/Lnc8XwZj48NqJMXRcF
9kHukSKpfc9BwFaBXpsuSIi7F4VypDpEITjOgS+Kp3Nsj+JJYyjwVLToYT4dCjvKaIgvkGZEgX2Q
80HZv4w2jjBSEvepp+NgV+dNXDYUVLsHOgjG3oemKBz4fkwF82kmvCmjVfjDgBRANQc6CMr+x6V5
xBiANei/aEGLHiw/42Z9qDPhub7fZ08gKYbSyZLppTy+OHp/KqO5WmMioyBlP4g+/I5bpbL/rRLy
H01HEbv59HpzUHK15scigvtAl8ObBPI/775afEfirw3zVzNBAZwlVgdb/QMdhOcde7/lQPKXUI89
I9RvZgKDoIjIK+dgl8PTFN1nEPQj2VBRY79sjK/rBMU+EvNAt9g3xOtgz4inibrPUJhH9NwA5Cma
Xr7qz9ujDKOY1iMw3YEuCm3v7ZG6Ec6kbAnG8tPr7RlBdY1psnaogyBMcve+R/BXZh5g3LJzJlAt
ILeybJWz9PF1oPPhDcH+j08KqkeaKUQLIiN7+ao/Lwr1iC40yL1AdXkd6v7wDJnssz84R4roMFjW
c/eJr/rzUGj0oy0y7kSn+iCvVEKKvffSEIcBFeTz/vD6vACjEvg9p+ah9qOf0YJ9ZoJ1pMmmY9Jc
e1oTbwaBIhNFJmfmU3fuUBeFUO3vOR8MrLRUkzKJU+N5/f+8KCinuX2DWR7sebF3nwGkSnce3TKf
r9gcw68Hga4UheRzT+PwkCp1/ys2hSJsje9r4g1cx6FJECh+Dc+8ygMchP3Ra5PEVRPlmPyrNqxy
hHElcrWD5TwKfGnPPYGZIEJZaaY87QlvLlbUDNyw8Yk5VOD2+fDa44wQ6LVGmay+kF/Z/n7eE9Qj
kws4NilP+88BLoenHXuPQdDsI9a7IDA98/3ezASu2MKxWFa/V5eHWTjtf0bI+DoLmar2K0qHegQb
WMbX+VC7DcL3cs+dgXuTZiKxwc7z8UWh/POiwCCIyYKf0KFWj8/E1H0WBdAMUdU6MNQvSyaAXQW7
00PdGYRh+Z4zQWMQZKLqn5GZt9AMNTbsJ/rxh1o3avsj1zZ7AjRYaudfLAdRWIp/ALGei+uD3B5F
dtue8wE+MBYyoih4vSVwkCI7I3vwYG9R+5+TFvdFqG5se7+YCFRMOPswPoc6CPr+h4N+RGdRINK/
aDUJjM6xaTYhGnt8PU66w6ubjP0raNFqUuAxcVl6fL1B6mACg9LZFBSHOgj7Xyihd0Jg0uRfMYHF
hZJQadIqntoYhzcT9P2PCEAJi/aqTHb24+tNqwkZJbdqFDWHWjY+U5T3qZhEa4FLhLhXP77YBH8u
GxkE3YHpdrB0aH3/M4I9QcMpjFv1L2YCrQUxTH8EV/4f1sx37fHUD+KHR2kyfhaP4o4nye2//A9e
dLtvH/CDvOpRaffTf/lxyLdPz34SYYn//z+bhyRIZ0FVl8F9rT5KBX/46Yt08PGdnn//+Su+ffOf
3uzle738y1WwLTflvT88/mB4/qDnmwRt8//G/M/D5rU4TIADL/9OvPd//9fPH/aHGun3T0e+v315
0Prhv//rydBViK7+/qr/7sOTzUNWvjzoh4ezpPZ++EQYGb4854dnswvu/ezpJt60/Emql2f98HzO
wP2fn8VN9eZPChLMOfYOD0/rcvPXNNsZdSFK3r3fYraN/zrPyp3jz8mw9/Pn8V+zrGTyvDzrh/Hn
Fr/38xclHjm7Hs6Bt/fDl/E2TV+e88MHf4/lumqSr1n8UL99vCD97/3R10m+LYNN/PKovz+98h5L
dp0OOwZdkLL3/uQn23LHmAsEZP9HB6m3YyMQPMG9n326iXbsYYJ99w6PrqrtrjF5jwV6mlV//W/q
bePtrpF5jyV6tnlgA34Zhx8m4nss0bNNGewamvdYouLZebZrdxdckb3/rGfb9CG7D3btXoJ18A7P
L++3Dy8P+nvcBZC9/8MzPvvLc3549nss07Ns55i8xyrl0Xgmb4cdn/w9Vur5Jt8x0UVnfu8BP9+2
m7e1I0kU77FEL8oNW8DLp/zhz/keS/Qy3tzv8qkWyP7ew3IZN8mu4k6ADns//ENA6VgFDztGRrSy
937+9ea+5EqQ1jvOUtEmfoc3SP+abIkC3PUG77FUrzfiDcp0Uz7s3MiEiPNdvsUs2Hq7vsR7rFrx
JRasgPugut/1Hu+xfMV7HGebotl1WgkJ07uM0mkTVH9dfA2qfNf3eI/FLL7H2abe7nr+e6xnnl9v
/ppsyq+bXTWDaBe/x0jxHlPydnds1qJT/l7vUDbjy8P+3lNFc2//N/hd/OGjC9wenYRrehg7h+Zd
FvPvE2T2/uxZvNlVPYgO3/6jTmGyy1pa6DD3f3i9SYMq3jQ76nAh3dj/DX6XF7HvuP/WdXvvh1Pj
B/WOok3I3PYel98mb+/90RsaRMmuvpxgBOz92T/xhGbXWjXeY63eEYL28iH/3sAEarv3B79rvu7Y
fAUE9i8evast+9367W2z9sXdcdev/dyLFv/FfbzdlP/z/wAAAP//</cx:binary>
              </cx:geoCache>
            </cx:geography>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Amount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Amount</a:t>
          </a:r>
        </a:p>
      </cx:txPr>
    </cx:title>
    <cx:plotArea>
      <cx:plotAreaRegion>
        <cx:series layoutId="regionMap" uniqueId="{9C7E883A-2078-4C13-A5AF-4624BC014020}">
          <cx:tx>
            <cx:txData>
              <cx:f>_xlchart.v5.14</cx:f>
              <cx:v>Sum of Amount</cx:v>
            </cx:txData>
          </cx:tx>
          <cx:dataId val="0"/>
          <cx:layoutPr>
            <cx:geography cultureLanguage="en-US" cultureRegion="EG" attribution="Powered by Bing">
              <cx:geoCache provider="{E9337A44-BEBE-4D9F-B70C-5C5E7DAFC167}">
                <cx:binary>7H1pb9y40u5fCfL5ysNFEsmDMwcYLd3e7cSJs3wROnZH+0Zq//VvyUuOW93OyBfTwH0btz3BwFYX
VdJD1s7iv++6f90l65V816VJpv511/35Pqiq4l9//KHugnW6UkdpeCdzlf+sju7y9I/858/wbv3H
vVy1Yeb/QRDW/7gLVrJad+//828YzV/n5/ndqgrz7EO9lv3HtaqTSv3m2s5L71b3aZg5oapkeFfh
P9/bqyT8mcssXL3fvEb+fP9XskrX96t3dl5nVf/+3Tqrwqr/1BfrP99vjEPev/tjerst1t4lwH1V
3wMxZUcc6Zxwk4qHD3v/Lskz/+myhgk5IozozISRH+96Cay8iaMHflb393KtFDzZw/+3B9h4DHgb
f/39W7gb38YIgA9Y/Pn+cxZW6/t3N9WqWqv370KVP7wu2dv5+Kifbx7ezR+bEP7n35M/wNua/OUF
ytNX+3eXNoH8G5DtPKnVPjAWRwQJQk1soIcPQDnFGCFOTaEbmyDP52g3xhP6GRBPKA4M4b+SIszW
e1jF/MgU1ACA9cdVzCcIY3HE4GMYTN9EeD5HuxGe0M9AeEJxYAiDEF81a7lSewEZC5Ngwtgryxgd
mXxc6Lq5CfKbmNqN8/YQM6DeJjowtL/lSb4XoE3GdKEjEMebghrDMtYZxibeRHguI7vB3aCegevG
9w8M0r/S1X0u9wIqBSsKEQ4SeBNUBKASIigSD+t6Au18hnaDO6GfAe+E4sAAtnOwGUcrS1X7sLX4
EcJcCErZbk0M9jSmOjcYBh390qB+K1+70d45ygzMd9IdGPJWXVX7ML7EkYFB6aLXjC+CjwxDNzEm
k6U9m6HdWG+SzwB5k+DA0HXWybvLHNz0f15266B2DR2E9Liyx8+Wk6yDh6VTcJInXvKbmNqN8vYQ
M5DeJjowtM9X8R6ApuIIYMQMgTJ+zVMW2MAmZxMTey4/uzHeoJ4B78b3DwxZN3nn5BKMsH9+HVN+
xIgwDfIU6xJihykmBAb1bO4yxd7E2m6kt4eYAfc20YFhfhOu5YNNBvG8fzS6CarZRBTCm/rjeqbb
gMNFxE3+GBqbKOj5fO1Ge0I/A+oJxYHhfLGWdxChtfcQxabIFCbg+Kigp/Evgo50jgXD7HEiTHCe
z9dunCf0M3CeUBwYzgsI9Wf7EODmEaPYNAyMH3GeCvAxzskN+MGTSPZ8jnYjPKGfgfCE4sAQvlll
787rUL27+hGqYh9QG0eEExMLnT+Kbliy07CJCVoavCqYBC8d6f8L1nZj/tpAM8B/jfTAZsEyWWfZ
HsQ5qG2CDCwIWNmboEP0RHDMqDFxtGZzshvqTfIZAG8SHBisN3my2ov45kfEAOuasSf3amtNE/C/
BNhi0wzGfI524zuhnwHwhOLQEF7dSUjjZ9U+JDc/MhikI0FwPyrprWgJPoLkBvxAzGz8TIyxmzfx
9gre22PMwXyb6sBwv1hn9/lduJfFLY7wmH1mDL+isCkEyZhJ6Rg+e6mw38TUbry3h5gB9zbRgaF9
XKc/8uS++uc1tA45K25iXd/W0PoRZCcpArf6cfVvYv0WlnZDvTXCDKS3aA4M6NHcdMK1vw9pTo4Y
NpghyNSnxgyQphxzauxC+k087YZ6e4gZWG8THRjYV3KV+fsIftMjNsY+uflaERHUChqQpTanGns+
R7txntDPAHlCcWAIn0Hh6T4KiMwjCsVDRNefFuyO6IkJ1yBPOdHQsxnaje8m+Qx4NwkODN2TtFjL
cJX881qZgqwGOW1ACuvRBJuGu7EB8XADwmdQiDJ+Jpb3WzjbjfTWCDPA3qI5MLzP1nIfMRLjiLKH
ooNHKEcsN0IlEAodK1EwLPlNE2wuP7sR3qCege7G9w8M2ZOs34fFZUJJPoEAGJQAPhtWm8hyCIIJ
0+R8UkI0l5/dyG5Qz0B24/sHhuynGmrx072UarMjwYnQdf2x2m9r3UKqChKWGHMC0vulm/wWnnYj
vDXCDJS3aA4M6YuVDPchngFmpoPfhJ5qDabeE9QBGhRzk4nJIp7N0G6MN8lnALxJcGDonq+UWu8B
Xoh/6LDZggvyaGihqaUFq9iEyzoAvLmK53O0G98J/QyAJxQHhjC4+2Mdr6yHPdjT5riIsY6w+aiI
dyxiKOiGBKWYlIO9javdSO8YYwbaO6gODPGLfC/h6zE3ZUBQ8ylsuVXjCfY0AawFFAdurui5/OxG
eYN6Br4b3z8wZM9z9e4viG0l631EP/QjZBBC+XP0Y7qYMcwAncImDaj/3OEcv5G53WjvGmQG6LvI
Dgz7i9U9bJvbjww3CdQLgCn2DOuGNwWaGpmQrNTxdF3P5mg31pMnmgHzhOLAEL4BuZ3uA2F+pFNh
Ckae9kVu2WIPKQxTB4w3Jfd8jnYjPKGfgfCE4sAQHl2JIt/LFnYG9Zs6rGH+ZHDviHYJU2cc5sBz
zOSl7/wWznZjvTXCDLS3aA4N7xyKCf55kQ3bbSA4IiAR8WR2b1WBoSNDJ7DdCk9CJBdzGXoF4w3y
OQBvEBwculm1luv+nweYmkcmgy3OFL0msfGRaZi6SaddR8D6nc3TaxhPRpgF84TmwJC+XBX70csE
lLIO6cRHy2uHXoYiEdg3ySfFnHP52Y3wBvUMdDe+f2jIrpvVXtoGgTNsEsYperKqt7DFkH2CfjL6
NDJyOZujV9DdpJ+D7ybFgSH8rf6xj7U7FvNhSBRDuOPhs9UyCPY0wyZIDjJ606aey89udDeoZ2C7
8f0DQ/Yxkmet5I/VXhxj/UgnsPMNan5eSTMKaCrEqY6hMdTDZxPoN7O3G/Hdw8yAfjfhgc2B62R1
t95PNxKIZI7VXk9ZyF3ym411JOTX5HjpT83nazfqE/oZcE8oDg7nGjoR7sHSFkeCmgx2PD8tcshG
TaNfkKQCX4tONsxdQ/57HkevIbxBPwvhDYoDQ/hjCG3BVHi/n8JNwZFB6VMl0FZJAVTqUmgaBmV9
kxDnm5jajfP2EDOg3iY6MLQ/1clK7gNqKOGkCEMQ7JXqkTFLJaAwCBsTu2w+R7txntDPAHlCcWAI
g/nxzlpDx9E9VYAZsFMO0ha/tO+m1IYIGSIINmBs553fwNVupHc82Qy0d1AdJOIyW8n7/Wyggp0z
0IUV9lM87Y6c2mQgxqFwDIHdtmWJA+hvYex3wG+NMxv8LcoDnAAL2HxxF6q7/BmCf6YHM4MaEgZi
+5XlTkZXDRuc7kD+F0dzrMfXgd8eZibu24SHBnuw2kurQKghg3a8sIOKvhZjIVAJCiIB2iA8z7bH
3ts3szl6Be9N+jlAb1IcGsKgy0/zVVnvqxIU6kB1Akv44TMV69AekAjYlCPE7h5Eb2PuFcR3DDIH
9h1kB4j9BTSM34cZ95C0Zgx860e5vuV8Q299wmHXtD7ZiDMaU7OZeh3xzSFm4r1JdGhohyoO+7ye
oyvfdpDC2COSgoomzwcpgKretNnJkQkt2g0oNppI8zfw9ArW0xHmQD2lOTSkH+uCwQ3fR3oEAipQ
KAhdIl/rN4aPRicc8l+TsBqs7LFceS5br+C9Y5A5kO8gOzTUq1UWqmRV7yOWyqCkH0HrIfO15qCQ
80RjCSmbbOmAE0newNUrmG+PMQfybapDQ3xs6ryPDAlkQCkhcNzCU+R8Wi4MZps5djPaynDfzObo
FaQ36eegvElxYAh/WgerfdSNgv8F+6BNKAp/JQE6Hn0E6U/o3P1ouU+MtPl87cZ5Qj8D5wnFoeEM
G/HgUKs9mGbQrAZ2QYMT9pTI3mGHj2VIkOieQjyfpVcwngwwB+QJyYGhfAtp5HovNhn0YIdOvhS9
dvLCQ2oEMtommqjnN7C0G+XpADNQnpL8L0D59yxuPPN40Nlfz17Ojgjp2w+pg2pf04RKlccQCizT
Dd8KoDUx1P9DzdKjp/1878d4GZxD9Otkvccqhl087cb2Je3GMz4+4u9fyn6OoHv9eLpfJ/05q2rl
PpwR+OKEut9ffXh8ONtwQvq0BX3HC/tVtHly/+d7KPGkBpyA8QLZcaCNDexPc/4Zm02yNQRZ/3yv
wb53cJPH03AYtHaFQ1Jgrbbrp0vQFpQJENNQVQiHFprgYWdw4EMApxjqRwKyogy21QvdhKJSmCAq
rx8uQdc5DG3KHqqN8cOl5ye9zpPez7Nfr+Xp93dZnV7nYVapP9+D91Y8fmvkFh4QClqh+TC4+dAU
S0CvSrh+t/o49uuBd/B/OqT5jZRZfTn0sV3K2vKVYYU8tV68lx23wQhU0vRGBnQtH4uvEIGzJUZG
XtwIJ1VTmpFeXKLaEJ/joNRMO2VJPxyD32lIm1ZZrZ8o5Q03EYl9C3qy6V8izvxvRR7xU+n34gyz
tLAKJo3uOujpR9rnTe6Yvc/UWRNHin5vutLk161XNs0iwrnuNHoTWmasJVdtlCjshkWREzdvk7qx
ueZ7kRUqL/saxr1wDT5I5Kjszkj09pLpRXKl16hIbFzESb/IvY7aSVNbWqLy1mJhm9Mr1GAjPm+S
6EpWcWulRdbZgbgGob02VHGflf7CU+gTa8rjrKVLQzPzJUHwFFoRukL3FiJ1jS498fq+dGicho6S
2En68mfAg49DoV9iUvysaXOTYD91W11G31icK0f4cX2hsUJelsowT5NQXBQiTdxhIMrKNI3+1COV
HetegC6zqizctPFKK0w0wyUtv6CVuFSZap2B8Mbxw4Esq4x97rH2NSFB6eRRYEirqnzCrJqSAKaF
l7qgrkIXtiPCEBVZ4NiUn6Ve0c4xeRZ8VH6juTXD0hUd6r7qSdjDWyR5Zam4lo6uyd6JjOFjaVb8
NICFc/n7OUZgbU6nGGyigB4x49EmFKb15hQre1n6fsflpXLTVSstfDPcMEuzSrs6zo49bAWO76ZL
5ko3s4xTfUFdcuzZ8d/MdQNW9As+OLQBhZMJIY4CjYkQ0qElwiYfRifb2ldBfukR/7RPgs6O/dKz
ilYnFmexcMvGowtJTBlaHkcXPpPeKQaMzLhM7Z71l8JDvcXJ8L3qcrFQxEsXcALswuPDd2Z4hhV5
WmB5Q/elTApmEVn2NlMRdbrWIxYOotQygs7tqVi2OLMjb7BLnXvWYIjjgWKrJ2QJPbWwVVYSJoXQ
7SbNjqNOd3KqSytHhdu2/jnx4sCKsxA7TRFaaRopBxbxZdsJuiz9KLYU9T/7bX6MaXpRdxxZGi+W
KIaJxkSpL2oU3fwe4k0hAm8WUsUmtNwcq7ApxCUnQkQMpBVF6slL1KTREgRBAg+PMlsLA9fIQ93S
S3/1+1uOTUo20Zzcc4Km1jVMNrGvLkuffjM8aXe1nzuDYsd6Wl/kpYcs35SFxcrSNhJVWYae9eeD
rAOLa8Z5HvKvKFSl1Sjtpxfri6IsL0hufkDecGf45fe0DUunzMri7IHxJ115/VLU3+VFL0M/eDqz
99ev//mUp/Dfw/Gv//3jeOTvf39brvPRplDTL433+fWt/x4hO+rAX+fJTjTr47nBz8roLRdf18kv
dasBWYcX4G2p45eWzaNV9KDjHqh+aWOoSRh3TCM42ciAvvow4LM2JlA/PFb/Q0yMg2U2pjCetLEO
XZzxuJMeVrMQcGgSrPhnbTx2PYEBId/NIe85KurnF7ABEdghT7+/1MZ4FFGb6hh8cziNx4StRBQy
bJMJXg00L8q67i5BWwi3ab2gsHIasdiOWdt8MDWjP426JotdhOLqW5XrzedYV11pKZGVX168vV3c
bC630TiAdyGgwx4cMgFHKo/O5EudDfO4iEVQN5ekzPClHw+ZZ9UsNwO7a6pcWE2r199YU2ihJVNe
lXYZSVDdHiwO3YZy3exeVBW6gjGC2iFJgj8PhsbxsjcNb417DXeL33O8QwXAJiuo4hdEGAxatqIJ
xyELANu+uqSd4fuO2Q3J5waML7qoWJ8bVtN3OHJC5nFrYGYfWn2M6DJtZI8d2eTVfdAphe1QKwxH
wYHZjVWlAWosEDWx7/qgFq/jWpymSgTKgSy4uFVBeRYnrdG5odLMi1AGTbr8/VNtwwCFywga4cFx
XNCg9OGhX5hOrNf8VisSBYrcE7e5zzGx9JjA1CiyurtuOyluCg8nX39/26lpCG0DwFxlFM5fhZ4/
hI5svbitgTpfL5SfXWZ8wJc4DurLTEk75F5w+/s7bSpMA413ElD+xaC7DGzQ4JN5VmR6P5QSFCYv
kL4q21wmS6/iPbHiInBRWSeDTVHPczuiRpv+3aQZJ8XLRQdPScb+ZDqcMwudfqe3B1siDPwsDS9Z
GRurNKqNVZyMPBhDqlxT5rnVI4B+2SZlS6wyztm6SoQ6aUWvn3cmlcimbZTHdsSy9DOVBaFOwPt+
XWhN4SBtSJltiFyXxwY1h/pv7I3xJJAp/2wUG7CtAc41hyZrm0AhszYyw/C0C1x76SqUlQLzWYur
TLdo32f+aRuE8Q+fi+K8G8pgYeZ6F9oEN+xnxYYht/vAZ7aeR806lJTdN0YRsNPfQ6xPrCIAmeoU
JtEYsYIEscFGPftiOpmSh0gGFb2I9LLwBHcqEQzLruqoWFRNXduyK9GHJu2N2gqCgNkSZ0tFZLFM
9ILYcVKmH4vESDuLJa3/pY3S/KRXVWUVRll8NlXMHa/MPLvOoyi0wopGreWBDXzZFpq6KrWBur6P
RWRpg5elNmmC9Ngwq+Qjifxrv89oZyU1Ky8rr/xUkVSjjtkQeJFhT0A26PUwWKjl0XkSGPybh2r9
NDA5Ph/8rhF2iwI9tWHShScal31qtT0fHNwamjNE3V2hyuqmRhoLrDatGPgEZX2ie4R8KgPcxkuP
aTi0hiD2fkCKTjZWmJXa9zplqVMUipzEeVac4FIk92FTmLDuaRrfhMLrmNWUun8qPVnbPbyHJXiO
4qps087VW1kuMO5w4yZweKdvN63PS7shgeemikqnLsRV4Gk+cjDOq2NQNaS1MxSZFq9Y8rVLUXBG
pChuDFoZy1pEGlkoMx1W3Mylq1AXDYsm5v5C6zq0Iippfyq/KAx7IBWqrcwnjb/oqiiHxdG2bu83
NV/I3AucpKLpcQZftUABSXDhmrRhVqSiSLOZ1zKL5UY3WHqVeOAXalm6lGbs+nrdow8txboTKokS
K4KZVC1o1Qq17Cjrzs14GBLvQ92WVZpafZj0mbwPvICQ4ZtqtY6lgSUkiPL8jvRpVFEJB0zWdYEu
q7hK4+5UhOWwbERdeSepDMPCikiS3yCm0ZOop7S2a8DAs/oSiQ7gSjl3Ms8DfVglcVuC/d76yJZJ
hb2roEQmy4/jnrWB03eJqM5NVVGYUa2XY9XaNejChakFkXfVwNIxfbvkBYcJR2OVLrIklMJKSlBe
nts1oWlrHkSTDKv3UKbDWbBemoKnWbfeok1YkrrKA6tgYWR+Oth8MEBiZiTWazsNpJaA8dn76lqF
Wpq6uR/yn1rdsBA5KCfVMtR5zS8NzfO904yyihmRnXWqHPpjBcl/GbiFH7DU9VQzlAshVRYu+sRM
+2OkVFrYBumT0Gad0SdLGZahZgOs5ItWpAN2oMg/Th34h7SrJEKagleeZV+iNBXpCZWiStw4qMyP
Q11Ruoi0nOCzoA0UyywWkKBaerIpshtQxvQ08gcSL+oCOHDzKvEHl+NuEDaP+qK9SHkPU1uDpSId
D+P6VFLDSBzfo37tsKwBOEOmwD7JhogO6ySGHhwOBwZSh/ZpUJ5gFOrHfshi0yZxXFInzEPPGWov
NiytlYW4jrw20m0altEAvn40aGfIS/QFLjzfAHYFK1zcB0N+EoS49d1Y6EFrjd+zsAhFBtPHp6Xd
taE2WFUXat8lNOTsNSuEdUQu8ZCFQ2jxRtfopz5pSX1pFqLPnUyU1YVRZ6CSfMViIBAphbflhQHO
vg04yYLTsk+TbqFaYwjPcOVXn/SIGCuj81LP4hgm76LOOkZdZQ4hMF/jKHUSWsbK5q3nhjgsvyVt
C5ZF5EfNDcQU2h+FDOhxw1rfc3lsIGJl3INxjCSPukUmG3w5dAXVP6jKwJ9wpcE3WlNT3K5wzzq3
IWkUHsuOkPYkY74iV6HGxG2GynFyRlGplixRgbruer3iNipbwCZoM2AsVyB0z0CDiVvKEczuFKSk
dOBAtC4/qZTwyHUk6zj+SHgm9JNOj9r6ouqq0fgM+u7aiDWzgzBPCrfO82ForI6k1QC+KRsffmS9
BfkEfBUpvtSNDJ6iLg14VUGcx4Mt4gaWTpH4cfghkwyWvKzBKvDhGshUUmXBVYn1XmYWLQIEcLey
qy9SLSiUFaK67BYddAqgbt+UZBQasJhseCIQIJ3Ao51cZemtB6c6nvImDLnFAyOGedH75qrNKLDR
yaj/SKsOqTMfzNzoLC+yOLrhoC2WKkP4shR++Q1K6s3SCvQgJKc590V95gW53zi9ZGULBm5PlwWB
12ojVvZ3cRIb112tUH5cor6Jv7Rm6qvj1NPSn/0gRhkSlknggB/AqRuSPlCLwkzFFw1B/CFtCx/8
eh3EXC/b4GOYV+pMpHFkOAaRxAexB2EZqwmIuJWR1vhuQjJYJoPmUXGiZzku1ykI5P4UTkOCtdGO
EtuNDA3eaNcMjQtKpi3PsKyJaXsCwoWgaWmDwPQuo+9SNOKT1oOZfjqISuL7SmW9slKIuDYnYUtg
qC7FwWDrrW/6JwXA0tpaLMzFkDdNddH1LLmJGnDDOVPguHeNcTy0JoATI6yGZZHEeX6RmZ1+rlVI
z92gzNLmzO/bIrC5odLgE1gi6h6JDMQIiE7VWHGgWmWJtuElaIG+vEn8EodfcT5Q3lgDWGD956Ki
moDBlCfdgGmxf6p5Rfsj8JHW2AlTZnwSQiD4Q6c0b1jKulShGw41TNKQVBG97uJkMC5Ts0gSqywa
ZF7oONA7uwfrRrltUABqLc9C35IDS0F2KJW4uKOddJqEcLkceAmzP9Y7nzm91yNle4Uyyy+t0eNP
USBhroGmE7cw11N1nYkMg4AlhYgWPA3M1urqb4TXLcdWHDfss0GysnVaw6/0C91LePOx9JSQoNxh
RrtFSAFNcBz67jykVZyfM1kE9Jp0KDFPPIhlwXN1neZfxFIrWidVHsgMsMbq6iJJPOBfithfqIDH
gdN2CJ30pQ7rvjdNFloQy2QXD1bpPx0juQjvZK7yn9U0SPIyRvKf/8cjKTuyGwg8oT+ewxVb4ZS/
kiLM1i8DMI85kZHqVzgFMhg6oVB0MPZOIGPX0F/hFGhDBrkF+DwGTcAreU5ucNjDCR/Y4WdAcN9k
wNpzOIVDR384jBiO54A2s1Cq8LZwypbTAXkNSKIAg7B/TAfnGe700unwJWujiPLkSsPlNz+sQCrW
yQ/cGycJTjMrMgdbydplRmqhhi0G6p+LHkKcPAVN0qblSRqWqVX7mi1ZTRa+gRYopzdt2BCXs7y2
G78/R5XnmFoO5gWubkNOCjvByXlglIndaPI4idUqNTvfqrF+75FQ2YWW+rZvdGcdb+7jGpc2j1Hv
IEpds28MC/fZ4KJaSxyZGp0DC7CyWS1qW++RaVd51i+yvL8mvWE4xE/O6s6gFizBrxTcKchg9Pc5
Mk/B0y6csssKy29UbKU+hagweJ8ZE9eDwF8ab/CtiIcxuFtaayWsgl/NKLQHvyAQ7vU9i3kn1K8W
Pcs9qwTZZJG2ux0C/6Ji2VnhFWcBPJOV96G0UkI+tmHsND7kKeKMXHiYfPL6pFo0sDHXguO1IJai
GnDXYo1buk6PU9qHtseLL5D+0WwT9X7t20ZThv5NRaLiOxgEt/2gt2cVV1cFrdQywS1Y/aX83vkg
9bN4mRataem1kVt62+eQqYDwd+Dxi8Ant7RU1KrD9kqDkJEbx/XgEGPw3UGAwvWl0JZaXn+kWnBv
JF6+BOPDxmBSnOXmqupWYHct9MJcqZ7my1qiZVIr35VFm+a3AgfZTYKSIl6H/nDfdpCpoahyWV3k
zIplwPlK4ujSg/l9gqoMHXcVya+I9MSVnnrqtBeerYvazVpmHleyjywUoNAOdNFf0mgAWRfmabsE
t+1Lm7UOC9Pggnb5GkQ5OUa5L0pLmjwYHgMJ/7Q0/F8o5yBi8rqcs6EF00P9BmyK2SHtgPZZ2kGF
nDG2j6ACY6ilGwNFv6Qd7GiC/iIQKIU+9pCk2JB2GI0JYOjVySC+PNZSPks7BkcRcQhrE3Os1WHQ
sPFZGj+FZ3+XyoWY1SQQBMlkCJ7BocAQ44SfMYL9UtqJlA0ia4zmKmlCcPNtWeboNOmwfpoNEBWx
IzP93Ec+sVinnfMMolSRkTZWG5lOkGnIwlX0qfOrs5h3Nw3qznsPR1YRmMICCwBMuXAAD7m6bVNI
7KX0xAhNi8LascpxgXbdqVnUpt2B1AyHBJKhSoGv6wvLY6JbSkp/Uu5XdqvKzEKQcbXBXCCujLXS
Gjhki6KI23oCkQOhgm+96QWWSvTeFVWfOkgWn3SzrmGxa8SGWKxNiwHZfVtZul82tsy8L4nATkXM
3pZKOUbY/jDrGDJlZerA8SF3ZcRCuzHDryZY4xbEkE9ox8E0DyFDmJOvpq8vOSsG22vpIuBSs6hK
j4nZGE6T82PVpanT640EV6370efej7TqrlAelJYBcfgQidBO9XgZx90Jh2DiAnethIiyllvcL+59
yIc7Hc6+FrkRWTRoqOPV1dr0yHCp4n4VFoZ3VhshBL0MklqBb7paxvFHohgkTiFkYoejcZ2rDjJ6
bXyGjbL5xkUjQcJBQcECQnf2oLPQ1T2WL5KeIjuBCIrLgwCyU2IA0UgyddEj3jkxRLsXPA8Lx0u0
3q5gNltSxYGrhRDW6VHouRlS4VmI8mTJRVvdEKMZbtuhCZwcgSsUqwRd9GYK6rKN42+5bMhpyJj5
tVFp+hHy1+V1YJLwhGPZnZfCo07TJ/kpuCpQXqDpenTutVkxeurdeS2HhFhDirwfHQ81DqalVp5k
BH2Ic4HdIGiLz6iHF7/0ID/xXYuE/1PnSe2mgoC3WfW1G3Nu9ymBDEhU1FYzVDBvJPjAilxU/QBv
vXVLSGaqrPwG4Qpha2V9KYOsPfa8qlsw1HSgNyDLyoygsfSuuNQrUi3KFEE0V1ZuicUZhHh8K05C
8IDpMMYFReYMeoydHPPQYWmPFnlNg8Il4Q2jGUThQjO+yGFb+1lc+82tgEDRiQkHNFgB+FJLjWdg
dmjyZ0c87RjiCE7H+/Ax4Pr/hfnY1fZ1YT52qMy2pfhDK9zVY9UNVMHCVgc4ygDqSqD+YLz0S4rT
IwQNlUEcQ5AaurxtSHEwbyH4Oh4CCqklCrL1v1L8YcuTgIIh6MkKhyC8SYqPLR83wvljz24oHhiz
f2OofJoD5HAeuGlqaLiiaXBb0qSyE4jiWxkkjh08pAtemkvc5idGr9lNJ27TvPctVHe5kwrzU8T1
C5pXJ2kUQZ0B9yBNxdJMuOG4lJJxUeWwunwtkydVG/rCyZJI+wFhzhRmN6ZNcMa8Ju1sI0OeZSYs
OlZVFLppHdUfUFZQJ6/NmzYGw5k3/ZUwEmx1GXWKYIitsss/9b12mxvZZ5pDHB+RIbGRbE9Mrb8K
Qn4KByE7EFe4kwMYo3HWWn6EPhYRuRZcuyWNyhzIEGDLq+KLppCxXXvZz14OkRUQvPB05jtEptQ1
SHcFUYBVmUSdYzS0dvo8uIew9+BUyFO26Ljro6q1izzAixhaN3pQcqP3J22Xa3bQ+me4ZlcU1EiN
g7OhZjbCkHFoUsipYdKcQcjxS4DEN01nIMATCtJIuZWR3sYhpAFkNHyuZLtoalxcYq910yL/Cdud
nUaGH0VdNFZD0/PCT09w2t/Gqj7T8uYnkgaY+FrPbAKRZFCmTWNpkKUBFRofl0orbBpAlLfPieMR
VNuQhOFXpC96e+jL2G4qsH2DvP0f9s6suXIbS8K/CB1cQBJ8HJJ31XK1VqnqhSGpJIDgAhIAF/DX
T7I87q62u2fCz9N22GGXdKW7EMA5mV8e5jbVEnyOByLDcwTKHPSqbul9VNDJu3AcEq7vDraUXmYW
P+9YcAJMcRxHfSkb3cFIq9yNGPTQZ10cj+3BRg16gKiBHGt1bkwEJa1us1AFQS66aU+xOdehxAa4
EJy/SyG75ZXHqs7wM+F5YDNUy5zNYoozEZJXT3OZ68mGmV+HuW/SD1fX7Aau5bRjnhn3wSji62YO
j73s9KMwJb0NbKuu/IBPHOiILEBPHMW0YJeMG7prpqRgbesfOlLZfYPr/3as2CEh9EQG88WLoqM3
Bl/myfo5F8YrrAn827AP5HXfoS3jaYyjJGrXrJwkybpl03ApKQ/O973bfgmD+ypQybGqp0NK+6Ob
+bmtDVS4IXhlYRwVdeeqC5CjOU8junes3Y8W8JQPiyGP5u7NGbUPpupFcWi5qYVXIfB5ysYBIaMx
NI//yxL+Z8sP95P2KHabCG4lOEDcP/wPUEofLlPdkNS/NC38/x/oA+f29Mu++T/l5a8swr/4FcBt
MEjcwx4Jc/YPrbPr+WJkFdNLbd7G+s71T116/fNX/H8/o7a7XP3yXv8LYQXAzY8/9Rq/PeyXXoOC
A8EEBdx2hYYJPp6/n1I4wBIwJ9ADoLj4Ab70u7KCm/SA4QR/hmaEgnHBl/5xSiG8F2LEIaZK41bV
QfBXTinoqH86pUDCgExF4gQ58HQ7D3/tNdjCh3RkYrzIyvZn1qT0RnfLFesaYFCj/hKjYB6krY+d
Spr1QygzkPvROZhna5XDt2nuU9F3ma3dveX0rEyr9kMDjcFfHYCL2ieHqpmAdPViz+tJnODqeTnv
S5pBd+UiT6eh27dJ34yPjvffUgEFgMQJjBhYKzLvA0PP00LWcwQqE92Q24qssakLt5VdFvUXT1GI
VVtJ5nyF4syv01OzFWz9VroFWxHHfivnHvuf9R3bSr1+K/omTbwi2QpBtZWEzVYcBnEKHRb1Yv2z
cOR+Hm2lZISakm3F5bSVmVOzLhnZSk+zFaF6Nrf+VpZa1KcadapDvSogBgWoXz3Kr+atoLVbaVtB
Y4Zew/J5NNAOtgKYlwSyg7b8s5xV/N2tcir3QzSIDGYzTmhh/GOqxwdRh49Met146mNB7H3ld8MR
dnHeDSI+DpEz3WNsvVRnYiyTKQuTkh5Cf55kBtzwsy7H+bSlkA9jV9fF2nZ3TprbmPbnrhG3gxdc
MUv2ysxn0saFWqHhbk2eXPOo6n/MXfBQ2fTbfzaPn8z5ttP++wIX9qj9+HOBuz3ol60DjOQ26nLT
HYIYh8MvWwdoG2wA+BsA5XYL5N8ZN4THMB0Vlec/FIzft45tBBe0hRRqboiboaf0r2wdEEv+tHVs
CgWIOWSYcNu47fn9unVM/WLgU4vwYhbq5esynWZHUdvKMISuNexVGIyZtu5rEmBpGU7fdciuberq
ItqsKLng6rRaXNlZeVnndTdEejpjaz8Wi5luFx2bgqZa5UqNby7tvomK7+CPPtRUHjpnz0EYPAx9
LyEmOugN2CqwboPrroXTy0nybOpU5U3aWphE5TO0k68RHPAMVuKSx0t7iXh48ed4lw7qnDTDqY7W
8LROgEPHOmD5JJYDaDnw0v0ntq+HcebRuePlARjnG6scFI71y4INL6sDlN0h3OYspm1XhH2Zewtk
5aQXX2Z//F4vE81FLY7BqLqshxyQtQLYgp1sl1d9eFu3w7mpaZjNWn8Ok0A1TpTN14Zdqlb3+cyH
i4ym/ry0Fs5OVXL0qyjdaqF5nnq8vDWx8gqQBGucDXT9ZMFU3040eV8rvLl92Yr7AL5RJoz+ENgi
bqRqTlFK4NsEvTuIzrCLQYGzS5IZn9ooaKa55XndoiaUvBPZJP34ANmEZ7GG7UaXhN97PPQPay95
NvCqydou5BkoEZVVbch3nmvkMQyXBppEFRyk2PivFTRTvMBt9JSCaVn6hb846LLUVChR+3JP57DZ
6dYCZVdhu+tCeY1t7mq18lJ3/sk6vhZVyz7LVcaZTFq6I6ZCOzI6ufPLxB3Qqzc7TwqGN8J32FeH
9GAlWn+56PGQBvD8Wq4BdMEtf4B2yw5jH4kdYH959LyyLKapCQFFh+S+wSjprF3xSoclRgEYe/Ge
cWJz6WaWOcX7HYEHD1Otrs6RMfOBB+LJBeZuHL1uJwhzmbL9m2ogolUiBvcxpPTcp9C0OcrOzK3b
W1QF3ffZRPK5A3CQGZF2RzcC0gwWrrKm7PxLBDUqE/1aoghN8B5rMh7ZDIVZzHQGFjFWP5A6SLBX
J+Vu4i05elbux6jZlWWXglYCbdSmnc6AqLQZoxISjpxZofu2yeNJxverv9zLZXyI57bemUD6Vd4E
zS2QJXuEq/1pu/XN+pPY294fsyZt9E0FhzIPl7ho9BCfYjeX1zFJpgMrO/oQkPFLlSpLCs+OS3kQ
weL7WTX27zOeVbKSGh6/bDLDxHAglXvyyezvF2hmuTel564NYtDrzs/SacRpbhwSI+sKQofvqq4j
Z0K9YxWGz5ORNkcd8dQO8pzI7m5OTE5IcmOi72USXI0qnl5c3XzMsb1eKEHjAFG/YPM4X4/AU45p
ahEf0eideO1dB/htohdX00Q/B9Acub82N97s+dmUJl9WBhivkiuDB9L+MAkIPQA8JyXdPUSAa0h/
oMc2WbBrmTrUlQ9iYRLQDJ1asgnqGgDb9tQZeEuJCaO9c/gI/aG9jIQ/Nkv53VPjt55ie2BePxVJ
ra+q2X9d6jjemToE/GUU3/ujD2kqBMFI9W6SBkLw6rdZY6Ybw+avI2Z9FOiq7tIlYZlqk+4E8Rrf
aT2ZjXUz5b1VV6P0jjB+u3xCfEV6arig43GZBNyTkSUt7KI/TBmjo5yqAuxV/A3lQxvtVLfcdIF9
VzQ5dWP0Ar83OlWtn0m9voFSA4ulliNedLMX6H/h7a9FEye3QmKXSRXJAj3ndQpFdVL+kQwx+rSh
kEEFoq+a75GBum4CE+Zl1bxZlh6TLrz1eX8gdDhwMFj4TPOl8fH/0atgVZWbavw0VXIHqNPuJuVO
tqUCAZYmJ7S+BzdDcBaMeRO6K2Gb+zYlhV+JpwYgsIi7YzI2XTG21VNT2RzQgs660iRZi0RTCS4Q
nSGa3QVcdpCjjP8ox85lOMeIOxgWGHZXtXWT87h78Cqtd/+pjX7WRlvB8u9rowtm2fF/URxtj/q9
OMLMQTg4yL8D1qeYH4u+5vfiCEk9GM4RSOAY1/U/xfHCv6UUsRMWhRiCwjD+6B99VYiZZnGMf/Bj
Nz3xr/VV4R9DTEmIv7DmwY4DSPb/CCMPMXb3OfHKGw2bcReuTZ3Cl0zLKwI89qpLzFRnxHPjdyrF
GS3BN8b9Ne8T+R5OkV+QOZqTYyyadtoNoSdPXo9g0SIryfMgFuoL1xMsEuRSsQV1wkEWQ5MPKb0P
9SttyurDjl6p90EXiSIyk4K2BACtXORejJUcdrYxQZo3mk77Qcs0PruEpFlau8yUY5pmddVj7UuE
oAAx6U/C+AKlD3Z6VJUTZLz0B1aHy2LkojISynTfwDHOgCe6DCXJuRn9S7+qKxN5N+s63/vhei2m
9FiG5Jqi8vC5OC0VAk1RrJsNsonAQk5IFxgqrnsaH7ye3MlpkA99ya5sL2Qec9blPDX+dWeUzgMy
1zsXS5npnsgiGcbLYs2F1AvLZk69zFF/tyqFNoyDZs6a2ELLqUKnP+vQPlaN94g5pm2UT43t7shQ
rzchrfft0O85uqsXVU15Ap6tBKJ5M9EGh64Sn9jxZR70Cd8FimXw8ovUhe0jiaN537PBIj60BoXW
7aEb8HL7JgayZhdkKZK4CHwAZxOfy2PV4wAOI7O3KPNw5G4E7Zwbz+GATkdUiAHCCxVI8DXcTzGY
Yjf29NnAGUtEDbzGNWzvNbzKmr5FkGnV2donPWJNYyfBjKcV6umAm9w4LQ+/LMX/W0/aVAnGMLEA
ggbGT7D4D9EM6YnZq1MjbwNP9PsQeOOrcHifZlejSPzP/vdbb4he6t/vf//Vvv5Q+l80h3jU7/vf
dndA3MMmiHD3sYBFm3L4+/4HexsYD8U290dZif0NdyHzMKf5N5v61/wT7jHpYxggshu/9Y3JX+oN
fwZ0fs1iwPzA3oPgydalIsj5h95Q9dFaR640F68Jn6C6PwYmumqpua8XtGvzRMWZeyhLfXqUzsmi
retyX05YBHYZy8wb+iFLHCpbYLUPHkXhJ/rEz2Zq48ys/r31BoRnUvysLlFi18jeP6VcB7C5m0ed
YBWsHRaor5YbMngKnYlEE7VOJCdLVBaJTST06ICgP52HW69rn2AuRDfJtHbXMghspuJggC4DWCRo
kgM1kITYBNk+FijEV909iY5BLyLIAHvanIY+QqzTclRpYG8T2n4gofEFdDvJmiA6qpA8krWGIzIY
7IdA+daIvyG9JrMhGmF1Y5uCkyP9a5+HPybxqkMYBPyoFBq9eRqRVllHiXekbmD0LHURrKbf9U6+
ziuU8cXqH6Odz77t5yz18IL0VJ6MZncO2eLMdTuyXo/WPy+UfY9kfFKepFnqUCemSXStuUYZsywZ
nRhyaot/QSS4ybg37nzm4SMJE5NZzs0p0dhYsSE+BHym9ykR70vQ3ZuOAVltwiavfPg0waCCzCST
vw9jQFl9qeyuqeF2lPXsZ9pj10ElTm5EzjPSopCse1hqA3hmHX0cdgjZMAOBMU6RfoAZMuz4YKdH
bj0UhX76lRMlM/jeh8GTZ1MnTzRdX33Cu0Pr6swC4JGTSAsViDrDaSiyHl7A7E1BHtvhHPp4Lase
DmnYyrwu/c6766ntHlk54BdrA7BJXVaq3ysFcy6YyB0u8NdUVQqGEe/OovZf9DDdaPTaBUEnVVRz
+LHM48eUOLc3dumzwbDyCJD+rcUShdwQiLyGCrmv5vExwr581TLvPEn5rV/Tq3XAwR8pcVAzuR4c
jnLjMW9vOZLOqi7nDBzErZUrls/0JHj5NoiEHbsQ0QVJ2sdyDQXOmPHrECanerD8yCJ1hsrXAOiK
YTOa7hTz6FkLT5whN8RZLddH/Mz5egBjApJZqZ1F9DX/Sa1PGvEDP90+vCV0uReXceGX9KtRUufT
CnTDmK47m2Bc8oWgoRGuGtB6wN5cF6NeuFfyYyeEvpNwZ7M5HIqlc/6eje0XJKFlxq0AKCzR5gaq
wgfUd7uykSOg5brCarfByVRKZErGotDBePJW5p0GJk6JXzaHGM8lG+LQZdgWbcYAu6L/WzM1ICRv
h6MkcSHVahEqsdCOG+JjpVGbA2pfUBGIBIl7xJ+pj1gC/gNNxJ0E2oLa49lf5FWkx7MKEdym+nFK
MCRgNe1BkLLOurZcs672b6dlfK7gjGaNE3ctHe9rPn9h9XJj2vUFHhjIMYQqs1bJLwgeneniHZ0x
TxYnaTaMnZdB9wiztFmuazPsEk+rfeuYQVu03JQaFmXnmt0y+7sk6M/BiGLAmfGTRuX3ivsXpLtu
EUa7AwYD2nAyb2UZAXyo15dGQFOgA2M7kPffTZtA2XGAb2zQPylBrxbSq93U4KpB+tDVX8JRRseK
xl14SFkU7IRCbiaqVPGfI/znER79r0f402/Dkv58hm8P+/sZvsFmsQc2AN5cCo/olzM8xBC3MAoj
P/rp/vyu7vp/g1OY4lwFrQt+bbtx7D/UXfy5h/gy4kPM2/i0vwChYajJH9VdChkZd+EJEEdieCpb
g/NLzg9prSUeBtPedX5P6Q0WfLmVoZXXRogjzkGaLcs0MfCm/fswtd9XtYrDQrpHOLICzsObm2Yk
jkZ+1NB6BzDKmWXI8Yw0ufUsWFkiR2xR/UKzUqVTEXEn9kEfw7/p+S3BmsunSUBpK9XFOPuDxHWf
Ren8g/YEXL8y+ZhCjFGsulro2qBuljekH+60p6JCiXC9RRxpKmyJryVO/4Ccih181G8TzOe1rd3B
C9gbWfy9mK0PlI4fk8Tedms9QM4TZRYN87eZkefGuiaXtf8YRvaFY6lgvRB2AF4YXzj22R24aZuN
Ua0RGuKvSbKqg4lABbBU30P3vCg6wPJfg0eE0xHzGKv7JfDOrRd9UNseQj2/Glpd0QCTWzQh+cKC
K+Sp8N3psfX0yxhWJ7WMcdHV/EWZ+CWVb+GsCo+G7yZN33VgLnqtvkZqea8pawvkgNcC8MkdwZPN
dDQfW1GRTCKBhxjHyPeurh4hmd6OPbldw6HMQSEEmCYB1TMaWIsyBAGLyIdhNXv0jkRzc4XkA1o/
AriCL/6VFDE/SDLG+4E3gBBGb8fMgvAmOQfzoLM0sWem4Dp5aXvpHU1zVw/spPsuODg7H9gkVaGr
UeQ9OplDnQhdSA+tbjyVyy4acWj6Db6auOCosb2WLNk31XgXeyNgvQ6REJIOB027HKkkUMB1fQoi
XqMOmjkQ4hXFg6dPLcE8Gh0AEMBCK/NZTVdI89wKfBRbxfQmiX4AGHiHsN+JywSWQCAPVKrn1tJj
6i9dVq/xs5VD5rX8i1EA/byA5PUaqCwaY4rMZipwsK0vnRz6gmO/LpP+KxlHUzRmfiap7XM8FNNc
GjLswql+dCRwO5DzwFN89dka0uaV6m+oSy81Bf5j3YLZIgrK5DLNu4Ut6pLMgMyJ1AznWhXkZZ0e
Z4tjuA718mpLUGee6csi1AasYy2/jnWRNNVzaP0GV2CV7LDWCkqnMUcc1B46YzE0Zdb9cfEDxDKV
d7WF7mhH1gI5r7BYCbl3kxQ71w1rkQTtbdUFOITIEqN7DjE3g69bBuS1hpCxXWuPNDwT91l7IOwJ
1w8qMbvQLbJA+BdTZtQXBCg/PYjrEHDpp169b6lJr725ue2de0RKKckiQwSQeYEjuh0exGheG7q2
WeVOTK1nOqYNUsQLEEik/pGNoblm7jMw+juEvatZ2fumJzd2kqiwOlusOIzDdFpy34PIEnXIesux
9tCtCxCm1n6C24dausxB0SzJawUQHf4W6loFTTpQGMKwzCw+WxgKmcGgg7yR9AW77gC1A/Xh1MTv
1mcUo42CqsCGfAUGEEaRGce9WKezLcMpDzR/iMXyKquIowDFvBA7INLTc7Athg7HGP7qICro2WJ5
tNGARJnsds0i5mKoq2DXdZHGolNYEiy+aXQld2opb1UTdjkdyyVPIBiXJb2oPn1MS3oMF8fyuMPx
Prrmoez7W6Skhz23rHmBOQ1Cf56uCVrKfGy2hR3Jr4BGbBZPM+Km6UxzOBdvS6fibKTVfpq7Mzb0
B0fVdBy8FnGEYLzv6RRkFSiVCYGQA1j3TZAOUcbH6qlkqI3LmOb10FwbMd0Dde2yADNsyio0iAJr
f9fxBo+dpscoluy4duMbysrNuNPwOjpUybEcSM5X8olMCc4LoSugq+Qe6cq3OMTaHpoEcHHLSN4s
kJu6cu1uPTgqmVbDi8/aMse4AfhQbgHSHMCHEgw8l8KeDXjA28vKA3hk1duYVl9VjwtpLru9sxxD
hvCRo25vdT6HIdqIxeN7OKl4TxHaPYXhfEw5RRhZ0BqLBgNrRozsEK6+n3Em5lYyeF4RmhgMe+Q5
gFxcbpgRVIxIQ4M8m6rrnqxzAePyxpFQIZSSzDn35jkjdfwcWXdAhPRHpLZytP9YfPw4Q+VLHNsK
liDQ6njsrkERDbdJtN7g/Ed8Ht4FRpWdbNNrJEqCDaH11AtYuuZk1uE5DLDwmy78Shy92Mr+mIdm
n5byGYe9d1XFpstw/qPa5pekGp7StT6GxGAiFogtROgBUjgKuhaRlGTL6KmJAg7T0VQESfJeAcAr
Wq2Qdlb9uneKPfhlO+yiSFAEc5du1/fIgSEzUp487V5jgovBiinYgyF7WrqkzlhJzhXnr1omBa8x
CGmR/UENCo9P+jtVT2h/4GzuiB+99xhqBFarQlQSJpcc4jtvjL8o6IRl3yzHlYef0psT7LHwpoIA
UWe2dJiQkIDVtZgpgKLb4fKTvt0GAaTopv1vMSzmlNbVDuO52gyGmikwjYwXErpDHhP56iH9Ulcz
UuFVKfNh6q+qqcFbbfUBeRbkQUMErEevPkpuF8zTAFvn2QD4ZFB2OdqlZgdv/4fgZAFZz/V+8sFz
q3aawF+7HBnUbVeNv7ZQfjPOyyhvB/Ik9Pys01RlXZXmGHAGj8qHmT0ym3OjhiKg4hGs94CmyZ5G
Ppq89dJn2o13vJnTPDR24xjhdwwx1lM42f3CEUAK6u5EUDlhQUovnwPzBq7xbglwnuPdwhEij0OM
Vn8dqo+5n3LSx5+xR55IiPkHSZtMsGxqqJ8tcqVN8D45fYXxLHPmkujdTMlhYBgN1nH/XHZhV6Qr
7O4lrr/ytjX5sOggZ4gUoF3do3/1GL9GYUBhQ8IF8kd57iPt5z2SA7dBpU7loPE1Vn/jJIJrOcsn
XzNooiN5SIDGZgEmRtB0/rqg5spisfaZ7VW3Gyz8MUyd4FlbD3g5dECOctZ0pxS9YoO6YwxkUZ0g
zoV194m7CCMsNiNxyutw703jSz9h6Qrt3ze80zmuhZswruyuiyQ8rbp/jCt8RhjBAHZWLNindXez
UN3tdUzPPrPvsnUm9yv7dVgE9qDRe16b6ry45imgpC1mgy018d6mCYgtQz44S20yF8DJr3uj950H
4dpzGDyV9hCsbCw/UtTGoDGhYCzdx9pqZGYhbHG9noIAw+6kLCBjPfdTX+cGVR4S5agzB1yZIp2T
g2oqPMkxOXiL/owFSrpELd/CFjUf2u+8auTLCGuwhOEt6u61ZPWbtCNAx+HcVtYveLtAketwUobD
0Q3JwyL83RJtibpBPS4G6jZNTylGY0CIucPIo9xVcARcKHaibHaVnq41Yt5jhRxdBPnlbKTv8oEn
QX3fdGv84lQVs9uBRBP+ILLwOx2L8zHqyX8Y+t8inNuQs38vI9+oH+r9zx3o9qDfO1DMJ03R3aVw
vSL0E9u9+X5RkcHWByFEZqCxwWZw/aMJBVFKoQxug7d+Io3/04PiXhNw1X7efyD1fqrPf6UHpX9u
QTF1D96M72PSJCAnsFG/tqCDGjBQQGBW0wCtgh2HesaEqii5+NAPMamNk5Ksu7pXM0zbETmitIAP
TMvCYYQAsjFe69vHOfZ5+jkzc9SkC8vXvm6lB7Cga8gVXrTBxD440/4ORQfhdxRj8jBcZKACe6A/
BsuI+SARlnHeYFpBJXAUJpsL73Aw55h0kYLv0G5MVrjf1SCOYGewzhrE4bNwwbCp44CEIqZwtDhs
42Fu9IXTZhyQVHE4rTjOa8hxLC681Y7kI4ID/5tb8/8dzY284H+VX24+Olz7uBvev7j8/1mAYRjX
gBtZQYf5bTrr3y9/ChMFWCzGugLFDTZ/+ffLH84LOGp4u7+tixCyze8aDAwW3AxtE182nPcv6C/w
0/5Jf9nQ8Gjj6hATgU6KOyJjaf568SeN5awNOLn4pMGlVvk5bJCPcob9UEewFcfQ20e+3GvH2+bg
Vb1+SHVL7oNkIqCwEtUlD5ynLctSjA0pUEboryWrEveOlgZ1vyhbVEqOHuQAYcQEbEULg4rZYJLt
AdDf5vvODIOdKowA6Um6137w0vW1986Hps2HYOn3SiRNMYN0zCaO1IBV+N4wGSiOy0B/B5jnZ8g1
s2IVU3Seu+QsJaJuc6hPkQAwZ0ZyGIPxrYUegmYaUj1CCAEMEwQMiLvBjNw0a5NoJ1I63bLO20Z+
SL7D1hMetHMCxkYP1LBeYNcw+LMurXeMB2sWlLrfreFcwHo1dxgeFWbABZtvE4vco+9/rQCbZYbU
t9XARQGW8l6uaItRMd84TyIqMleXuerfTTXvY4a+HCOMIDZP0bxL2LIecG5X5y4hURaF1XKqnfF2
JhrQN2CC05yxxYPU2rMA+cieXFCIuCyCyiwBtKGYpOeBYjpvPanlfmUyQU8OUGWZPDRzQhzTmvC8
JIh3QH9Yqz0h8O0xfKlr4MdLjOnUJcqLNUiQBlpg6BSGJURnErpGkqVI5D1G+LUH2Au9t8OF3Z0w
42U6tEZV5zIm7KaiM4AWm5Y3dYwHdzf+MJb3/ii+YSZWlIkufuUIrGezaYKdT9NvNQbR7Erbf6Jq
a3NL+HVTClBk0l0ar1YoldpPsUbFgJD5xbXU5W1CMYlMszpPoVplZIpPehqScxAh4DJJ94g9Fx9T
2x6owL9SzXJ/iUYEyn8qi6DEZjwB+1Nz1NMc0BsMMyNnFya5r8ImvIsiA9hSI2zumQyx+TzARKCi
l429Bu7noe/S4QV+XbzX4KivYqpUQZQ6KL2pAWwdD6Fovm+JFOshXQN1w5znpQ0zYAz+PqIlu60h
W5I2/REQcx3L9l6N43NJwhvTJ+BaA9LfOmBrJxBDqMnUetx0sqxFCufJkyVG7bAPS5arqkmuKppc
O6HSXYLhc8PidrFaMX+JXZjrrqMW2ulEriK/um4F43k1RuVNx3pTANrDuB/BHzELh58G0Zy0nI71
gA+JYbJbP2/MFIC/LKjZKx+RobdxdVkmjDtcOkDgxE4t5jcOuR83p9RGO6b1a6vBR6jazxX7xDgO
bC3tHkNH9j0m13jAy/Y8QJQLqRjRy1My0at0XvLZBxombAThYGmeWeNdAjo+x5OH8w+MbXwpkYQ7
Y67tZz/4D9E6npKRFSGmVMUYDJd7YrmKCObqTdOriMMDANKd4RxzuSJ2Z+rugangR4oZZFnbhB8g
hB8o5KYCLMYNYgZ7UtO8x2eMkX5VTtHD8XaCF+X1YCPb99W5JwzYbBFTkieAq3erWi4tq7NE8k2o
OgKUzbGR1lsZet92y63DnN1gdaeu3Bw8wPIrOaxjfUxiL0eM8xibZU8w/gQ7UfUeM7BjpD+SMc1r
KFquV5eu92CzeOrgY8IBxCV+F9imqCZ+XDxWtIpcT5PDbK3qdRghrNZLjrFOn3Dz8xJjoWnq5aVt
PnTzocrxYbHoaBlcIg+A6dy9RENSGADTPsXvQJIL8+UuyJZgdFa8p8gxR3x5oEv61EiQJmnToDWf
vUNLdZ5i3k628W4IPu5Z+t/sncly28i2RX/lxZvDgTYBDN6EJNiqIdVLE4SsBn2X6PH1b8FV5bJl
lx01r8mNG2XLEEEg8+Q5e68NDqiKwN2G65EzDzSWlXAGFwR0uMNath0m+aBqzX6ynGshygdcBldB
N57a7BVg6FulqiFdFjrjRrSORLmu/XGVBObsalgGRnhitHpedMYVVON3TWkYYDHbAvpWqupWcbut
UytrlWl8bBVnjaXdSn5T23cxbVul5yvdoVbbNa/iRe06a82o94Y/ckHGvSU3bMjrFVDeHMSE/tK3
xQP/lLkecCGPtYl6MoZubQMHGnPa53m9zB3lQGdnNym2V4wA+jqZrEOFTSIs/WqJqwSfm7A3etPd
Z23+1EByHkt7BzTVK0PTXxaN3OaOtVMH9NwQljda3D30Ur0vZHxVKNrGN4d15LfcO9cLEMXajcXT
aW8Yop7yIj2UE1pKpb1OI3vrDP6lb0y73Mz2na+dh+CDF3kbrUEnHUtf3fGCAZJ2TrF0zwxteCxF
Cu4JuyC1+q0vxamW9WVeW1ftgE7C0errdm67cc6FEAT7w0rPUguZlVOhokiDczkvVFPxMCbNQZfW
poR3hCIA0Cayon4uevKDX+a3shz3ml4cFPoIl4qPJTDA/HZd18CI4P3tpaoupr7Hppiw8cR0L8Rt
3GT2DlR4NPf1HxkbLXQzoRsNGC3SXkWGorapHuBl7KjaLllvI0+VCd7W+gDFjPcyhXs7qdpjCEt9
7RrJTSYbOEgDPntDO8aJE4NYw8ZY4NnXHXvrQ27rdSUDoVTQYJRLO+iheoz6Kkljzwrz4xCITewP
e0bLr6WCCLuOnxtpLUr2P96AGrxIZ3ttC+ojVOBKUyEkDRA9RJ+rAXV1pzivXWet60jdBABjInXw
sBiy/tTxQJt5Wg9ZfqAxeJCNdVNYiIMlzfyc4r6JkqUS9so+102e9ZT3FCupVuxSpTmflP6xluVL
60gviLED+emAeAx/Zaay/X1zmvu9EutLhYhtTECVBTlBSOf3FWKDVUCSHKpcqtk2AuNdJFcKmodf
X4Q6t/xbyPNHGWpoAgelAQuU0cT3F4E0qILx1pTLwfks+03fPg7Fe2Cssu5PsRdspZ9Dk39W8H57
pfk3+WbgWPi06CafK+nORWjOcm/0e9OuEHdx+xQVYvnrD4aF7scPxtsET8gk3OHjB9OdonX8tAiO
nfLUtIcqeMnTl19f4mefiGqZYpnLzFDa7z+RL+xBdccyPNINi/sNrjkvDfH7BpsIIYTe/Aac/5NP
xKiRQwsjYnMmDH9/uS4XtT6qTXQkFWIRGZwyg02Z/OYzzWPfD8/Ddxf5MBaucapZwuciscS+Is9i
N1z9+q797mPMf/7Nc9A1U4MIhSvI8lz05TJhtmBHv7kIQt9ffowPX02ZjEnZZXV0HBRjEVpLNzqa
ERQ4+9GKlqK+1OkG//uPpaszYMsSLlF9H5oZCWEcEQ3o6GhXp0oN0KbsbP/931/DwINCeDPPAUia
728dvXpFOJ2Mj3kdekyY7LxY9untry/ys1tHCAoOaUOjO/QR3l/0oW1H0RDz/Tzm4izkpIjgauH6
13F7MLsKWMzp11ecn6mPz9y3V/zwZWGHcWWpjfFRxbne1fcGBdSvr/ADe9lEQmnPonGSWgTv64fF
py5M3FmDlh3jM4AKOzbP82JpedYpvLKWuRetnaWy/vU1f/acf/upPlwy7Jiq0fSMj51A/YOWV3dZ
FIrtr6/y83tnckvYOUl5/fBIiEkTdpPRoPUrdwmM02GQ8OsrzHf/47djQtmgF0hbEPf89w9dWeu0
fWslPtocfUdHp9p8iswAJET8m8/yszv27ZU+LHCciBki2iI+atZb6Jws/7qafrO8/fwSaG7AL/Em
2R8etUhLOsecguSY55cWzb9h9gO34jeb6s9eIR62r1f58NUnEmHLGHCVKHlJlVkU70lzbSVgLJuj
kkAM+8139MPH0lWI4sAGcH0COTE/lAq6izAhs4v02HQbxt1YHqvp6tePwQ8P2odLzM3cb5btvAu4
oWGVHnvmWsgxV2Ns/ea2/fwSX3LpKXjos31/iXgYMiXlpHWs0xdl2ok++s0FfniU+QzoqQEyWDTe
0FZ/fwGWTpuglSk7UudlrbUM410UU5i6b1/u1X9d2Rkc+c8DCYI9nrs3+Vz/2JWdf/CvocQsbZ/j
0iAcGCr/w5P0tSurMq+wUK+7Gro5XqCvXVnD+WSp/JAq3Lmj+x2M0v5E4YqwHbTlHAiiin/TmTXm
/u43Cx5xGg6rKfk14ktjGEzb909JHjgYRDunuFSxYGxL/MDMeB1MYf2htbtx2bd6fTa0erFBiIW6
cmiPeWxifc2zz9LUi1Wt1FvUo5bnGpKzdC+MRWyG1RLTLYMEBV1K2DgKVhIxYQQasmMVuPehNSHA
Bb+2HNTpAMH5TFrm1ilcOgIKbaWxpL0bFExwnfNJjvAEGKFvEXvsgwwJU2Ja+8nhNBaY9rnQzdvA
KpmNR86JWWGyymWEpl4+64g2AOUGd13G7LUnUAHj0Dz97aZzkdv3gw9pGunbg5sW92LoDm6infV2
eqNY2XnjUK4BFb7NJWk6igYc3u8P9mRe5Xm81gLlUY+GZUCYFvJ9G2JneVbaxYPuiAsjzIADWcOm
G5DW8lA8Nymi2HyY7UV240ViChfAJlKETmg7Rr8a6bDlrYeaZCQfILuUPdKpPDC2RahHKHjai35O
+QqmXtvAdlvHokJm3sVQ58hSUvTpaPjiRW/Km6Qd172DgdIIOFmaYj2G2S4CNA3xrj6K1r4NKz/w
SnN8EBGN46i3yhUKTRpKeVSsjWisV7lubxo5nSTShrUWpvtBS9/CKQNU3Oi3gqkyYGX0VqJwLzma
6hepb28HJ7iuLsxwJ9D2E0pwECN0P9K51pHdwcKsgAg3U+w1Bsu2bJ2HUOBibqu5R15EG8inSNSy
4gUwUrGKG+RKeqUB1gERjG5ibMZthJJrQeLTZymNN9vS33DaB9ugMi9mvPLQVQGRGF3mxWNq3hlW
AkmeHZw2TQRtkTmwJXappcEsD9fSCRCGg7P3xmHQaaiJceN8IWXmVtt4faecorJ/RUbSyyUd6Bhg
VLWZaHUD8qj2plLpywolvitmdbdOZFvO7ANlmrPVZ/F+gZwN0PoNvLpVV2eeOlNCeHR5jtz7wuiM
ZTjbALB0V17kBoOX2C3TZmDCWHQxDiCDAclnpVduR2CM7hsL4kB2uSvO/K7W0ARgQEiDmPcCUYjn
xCUK99moAIBRXSuzeUGF2HwY8TOQyvVizAaHBqeDM1se5nAQejZ8lrChO6JM6NWxsWGRmC6Lgjcl
nu0ToOOOPn6KMFPVVTlbLAReizQXTw3ei7o4RaZZLiS2DAep0m4QxcXgQ1iECbV39eLVrFO8A5g6
MjMrPTupk5UyKMmqnL0fvTU7XiorWM3tSqT58fSkz2YRzmDxrsZAEhX0NSufx6DL/OdxdpnoY3Xu
z76THAPKUJrbXAsVPOjhnRIkb0nLK6PnNHLIcFjXLpjc2c/ikv8Bdjq9IYbj3Z1NL8HAc2fMPpgi
DzxzmCqC76Z56lPlZ4o+WOcaDholyqqLoQNrj9Iw9mx38lcDrW3oX8wvAomqIey7cxpzDvYQlAyp
G12HkqfZMgNtJ1NEh6bPNw7snsiYcToVfingyEASq7MOdyReIKOSLc59XqxwooXHZIGwi9k81I0N
PK0K6SasRHAL4T4hG4IxWXXKTOOQ4kFSffXGnyXuIKxoViN6N6ZpYBJUSBlfloMmHxLXqnsPbZSI
l3UbH9q2g37SAALTcW/4OSycqAbZGITmfxClP0QKBtXvP9cE18/5/5w/N28/mdTOP/i1JtA/qRSu
QtDaIL5r5rJ+rQmI7tKRCFi2S4sKpN/fNQFcVmQI8wRVME79khL216TW/qRBUGGM+2ct8a9qgu8L
UyoCAsN0psgWZFjdBhH3fUVQt31bZfAPECcfJS3yEUnbNzfl+Mdx6luK148nBpo6+PatWZPB0ftD
ZSrYo43WbttLVIFQOu8UFWbfqTa3mn/suwsiMX99vS/6jm+qnLnx9/0V59/om3peHxwZEUkBGArh
1YIhaOPiRCnAmhZBUZ96WTjYiazyQiSWv6jFWsRj5VX+4FtekzW2h1lKPA26q+8EpFQWndJcaTXe
F8MJz6wivQNplyxLqb52SvLuDsrDXHkXGm1VuzAZqwQUR5hhsBvooeNJvHa0zqJgayZiUzNcWVuW
bWDWjYqNPw5wVMBFLWzZMuydaEqA6L5WegddWXRFxXZA/VIQ94kKtvL5lggXyqBWL6AGrMwR7rbo
T/68GjPjw3enHbvQWFCa7HK1jfBMBQegiywnyq1UtGDR5U/dZBwHO9x29lR7GlzrqDE3ZkkoZoQn
JxRFv1ZKWW+Isjgv0Ihc23BXJIL8GdNUzMQmAbopnhlO1RecE0JE/kObIZu6TAPzrMEwcJFnE7CV
ukGezVr2OcE+J0R/rpigCe1oNyQ9FnP/QlGTi3ES91qKQq5CH88yPodTRi8of15TpbC83jLP2QP2
BFasuqQ8a/yeFvm4G43oqE7VMverVTSMZz3YfxrYxaqZoKcGVn+oO/WeSZZnmgUt8ny6tZDfQr4Y
maC3+TFPmk3r9BfJlOzVIrEXQ4nZKYGtSJMf5R5ed5XJburVsX1bNZicYwV5rZ6V7a5t+2aT+np9
cqJqPEtJd1sDVjik2aur9Jdm6FzVrdRIw2QCj62MkJZs76fRsc2V677LmfHwtRQwZpzIXdhZ82qH
7YQ2Oz7hUfTcNsNQMmgrVxcrE0xH01J+1Kh7RG9uetmtVQRDjXAWmaauiqK4nnLzmPmEQPYDoBgC
gbqrYQyvhM8OhR+VbJ8HVELLwbbkTakqxjKO5HsOFT3z3Y3RY7GY/HSB42dJL+FNhVGZ492gbKHy
tN0dYSpiaRiRJ2C1a35wDKPu3LTQK1rZZlAtL7XJlxn8Q10z6bc63K4NBn7lgrPPSu+VHa/taQTA
jKya0bcBvKNyjTtT1kudN2RZzTROxkPjNoGzwqaar8sowGw+Kvuknm7qskc3kTYXkSxI0lBXcYzQ
tvVjd9k6+rPbxs+x7ZCHmbIPx2SO9LWkwK77bGn5nfNHR+e/gzD4iF9seudv8uXt9cdT8PxTX3c8
TsEW+5P1d7jC1x1P+6QTsUf6GofP2Q727Y4nGAmxHXFARp4+Q3H/2vHEJ47AZNDjGyN2Vf139C/w
Yz+cgiFpMDpx4Fbqs3zw+/3BUPSeCJwkudRUFNF7t4lKdRl1mancO6wBqJCFzMZlW8XVSZuV8Hq2
m2S2HXY71Qfflc/VIFqMxrlD3kAWWtTdaIYpD+qQFuGDHzCIE02eLEYmOEsiRi7Bj8YrK4bmVeoW
XuM+uyqS8XJQ0o7Gvf4MGQZ9rkwOpTodyYBBrefLOyxpm9JCcNE6ZB6o/aso7avSKPgHjKncBoMF
ANYpWGJdAIbxe1dI3cviDDGFpgqv7Jvk1kcrrZgGhaA6NssEg7RT+Kc+izmqEiK2DQRgpkE6206U
RC4kyOaF/mjCUkdqAduaGjIFYlZ1Hlt7vCX2LfVciZXBKnzhZVX40OLcXeVWmQAcw206lSrHkzDH
ZqAYCsW/aMIthFVmwVUJfHeh28q4GFIl3YIGLz18Bdam1rT0oFZ5cIW9fbgXnQwWhQ0utR4i6zJy
4MAGWqRdwOHeV4OpH8McVUxej7gLKqxBmEzqdViQv8MBgkvrsXPvuxWhy7oxgfslz27sNJRDQ0L4
QaxJTkpoIA9OKelbZO5YB/wOeRXtTVsR+PETJFZrvU+I64QD+VmrDHPVUkzYVRyfhxzOW99Bwwyk
Nswx9pjBtFat7GTGLoigL8gkQyZvaYG3uU7OClUNVplNnkKTJEvEqex7ynmt4MYKCdy2yhSFcr4v
dfmoK8lZ3OPYrvTsxgjC3mtC58XEHagH8446EMQRNnZytOIRs43B6TK+yKwwns41S4V4mPToSueF
2sRHn4zhrs04sA4+4/dB6I6XTcHLNNB/9HHzMnVGKlRkcvYn5iG6J+uFA7DkWKMmONSaemUQ49xq
DUr68TaYwz3GJrcQjNCOwPBtLHDyXDSiz1aOahVbJcA6gUreGyL+Zsy/G6I5sJkkEnM0O48tNyEc
Dpr6yO6xUgcVV0iveom0sGiWSb1X1eYgoqFbIkfSvSjFG6Zm+pMYNKhbY3GN7J1p/ohhwM+BHVUE
RBOnAYUEKilnM/st84PXtHBSPN4p7pYRQzUdfgIqafGTmaKpsJbbeiSFTkP+xOTeXTs8+nhdg1Wu
QrJc+VbDTENBGdVDzKIZtcd6Vtx8WTb/2z9Ujhj/fGiCxowH7sf9Y/6pr/uH9slGE8CSiR8Hqhsn
hq/7h/4JJofKPIjp9xeE7F/aVsOFqsRa/o2J+Ov+QdoPATwQawmy4mjA1vIv9K2cij7uH8wjcMmB
buJXcGCVfL9/EHGO6UfgYEtA14y7SRSZ8Zmau/EvSQ5DOgYNUtG3jj+DvNrwejQDc5HAKqXX1uIP
9QXOqLRKvNZtzFVtZepW7dkgnAGPYtsVz9o4wQW3ouepqodVZoT1StaCwjIguM2Pj3FFXFbgN16Z
1Xg5HSK7nHECKueCnSTNx4fJk5CqoeBLDRGsrELRHNq8dBeaHd13mjhFRr4RKZaxYljl3bSJKhwx
jPWofePiNGFcLUSxo2tkLaIUAYOOdHLpYqUFNzc9u7E8CcHu0YK6AwigH3W1Sc9bcyrW5PTlKx15
AhGZ1bvhB89w25tlhripGd/odFqr0aq8Wem7SjN8KLp5X+YI6uC/lWxlBKPSjmZ2XrKYGwXd6Qk3
8lLrhoMx4SXU5fSG/GHd4onV3H6j2XBsS3zLRu1JKn/wf6wdJOMAAJ8FeeS29vAPXHUByvMsh402
WUi92sBHPWc3ENejG2cGqaVpuc0gqw1FfJNCWmua/MQR7xDiSCIYjHg5FviOr7SdIW3qEMl80yia
s3ZEudes7DOTa3Zm2z9TO/eMsEfsjgAQxZ4OvzzhAS39J5xVge7VRhHkJ2VqxnKTaUDZAjVRH0Dn
4p0SXfKiWwY0QY4gkd6+EEWy5lwdLHuHP47a/o2CvF7GBHEssm7YNmN4Yea+49FuH9dVE773CqaC
2BkfqaRummk4aZ32ZMiSA870GHWUy8KqDc8OzNdIH/a9GoxPaVglCzDKSF+xaTJN6haWCpPCkieU
eVtbOsoZ0bQ3Y8THgncMYCZwLv0BdyYpQDAerFUbNlhWE+F6jRjV7WS/a3FhkuvY3HUNoX5ZaeJa
JWQyCVxjYykRmbGk75aatZIEgiyVInwJkmpapu04rZ0e6k08Bhs0rI8R0uGC1wapXD5woMdWZNcT
6A8kUxoBdkOPCo7ElOPoKw+yUYmBMTTAfPGt5YcBEZ26DfoF8AaZv0TSbVF12SBVin1Oy4wtmJNr
xRYSiuS9DpvLMjOfuxoiZIrWJRnjC0dXD+XcCaAHfshJO12AOOiWMcQMGWKtiJuuRx1Lkl0T0vHT
3fQ5T5zHyS68LEWXVwePRmKU15OCI0oJnVmead3aSng9wPFR3f6hCs1oV4bubhqqgx845cEv6gcB
fJIqFkaX2IWGc6m49SlUxVtpThdZJrdJwbM5CTJGSi1vV4QFX3Ud8EbyFYM22sg4dL0E0diCt0c8
1V29C/W4vfIdRA9Rnq4BpB5EUyd/dGD+29pmJ9E/b21zP3DxJvNn+fpT+8b8039tcZr5SSMm2Jn3
jy+kjL+3OPCADooHwdDPtHH1f9MUtPgTXEuQkDE4f9nHvm5xxieHhuEcWwcvn3bbv2oKIoH4sMUJ
DJ2GBTeK5qSKE/5DW9AdLKXE2BFeKIBEV1aXNZ4zjcZOdEgkGOWN2aKpGik5REDSWYIaJr/O76s6
vh3jJPbcCYX1RS51c5VXcPxV8o7U7oQ7vRifW83UcG4GA2QoeAZpF+s0s/C6GMOKdHKfkZ+tVdNO
pecU1JumVNLw2mnYoaRFqsQiV2wEx1MwxTdZkXa3JocffZkSYHcd4qRGjhLH4bosoReQ0VtvKTXR
W1utfZdryFwXI+/rXZm5vIeGVU7j0sxpFy4ViOFLXlPnaCRdid2wih+xcdLCcnER8A6l/iWFQeAs
UieOzqca5+gStg6QAycS/tIt9F0eqNkyM+L2nKjt7MIWeXfFHhl6El+Jye6QM9hUMGO2aeU86dTz
RL02bjEh+m0Fzmgnsmwaa6l9xdZSTMupyaJtKu3pJdMJBA8DkxbcclQrS+rr1rXi0l+YRpsUO6cz
mo0l+UJqemFK99hEUtO8pPM7z4zxSOQeijd/Et6kk3YKW6tnhuBiDnf4a2Mpg42tNhPy3S5+Mty8
Prl2ba/jVGggCIEb3hDAeuEatGGOhcLdPOZK0KleQJxrtgz8oq1YXgiAv3QiPX5MoDTeDG4LzR4H
eMJBMFejdKsaOaJxxSn9eFdRgA/7zMbV8SZ6J3gjkdHecC7zQWaERUWQhU7HSwGgmynSXiVOVD+w
wJaSMHWFbYw5zn9F+Rfkzyw4+eeV60j+4c+kDfNP/bVizdIGfGMsLnPf5nvij/YJSyXdFJYtuKZz
EMPfhjNKZFjrpo2K9A/W6V9NHXI7aW1YLhOQP+Ml/kVRjvrsw4plmbZOq2fu6WApMD7qhEwizzBJ
jtqlldL32HJAhTznVMl57KdLc6JJG073EDEZNDfppkeWoEQh+b0zLqcINq7PADNKhlsJsdMzCgpc
dlLXVA+tHyxFNhDWVpPEvbVi5bEIgr0fENIWXGqxG5wXEZHTwhpdZuvTQDyZ6FkYp9fURBc3zl5v
XDmP+Dtp9RpKszb75nEqsm2vUwQbVneM+sbwKsJl+HP1MHXDOFcY56YK2QEc8F2uMDDOpPoWlfV7
P+mvjlKCHGuTEErMcJ05A2DiwXzsR+VeTuS9MOeETicAwU/uRS7G8QBR+Aqy6+yvoa8y+HBHCXni
/9TvsDdN/iKZSB1Ic534H5jGNAh8CjbC2wnHK4wXNXmwxmNIeDeQN8LgerkVrCdAjRu56g34+cgT
cCCAdDWMZlViE93J2mjcZy0yWYKigQ4aYT6kZgx5skURV8E+ZDVuzKH0AL72C9b7AX63k64JXEt2
ht6hPRC4sUkW7ZtTOFaw5adUnrrCiDdtiWCztFNu1Uz4qedhd1jBc8/yhE5WJR6KSYKVbemImNIE
J11Q6TRtaC0Ax5El7/rWRtj9eMInbGKFieko990y5OSzd9OJ/Swxo3PfUuNV77b1PkRuvxkkmNgc
J2y9qvDyUs0Z1GhJ+667hbOpAArRx4Yjpwnlcwc5jTmMy2lnxrJrFYPjqFZo2FHDgZG2EET00BNL
HlVJiDjJg/WSeL706BhB4mmMcheJMkaeq+WMZ1K49ElXWxuw42/ZoLkb4u5x/EolPUJuCvbcOUQ4
RNs9OwU2En2M1K2vomesVWWmqoKUMbSGNGPNBmKR4Sr+XI4IrosaqWBt1RDXHEUeervoD0Hfyo0b
ovnGMESIdyNSjy8P4lVtveMKIxVlDDHPmMYG9isIDHXKjE3sluFCOo75Wc0wHmDUxHY1w92DTDLb
AcLi+UGvQXTiYESKU5t+5p0L9jLW1W0/JXnjhfhqVG8wnGHtdpaM31PSxbZsUfqJAG8oEo5dH0Bj
qfJglNFSqsMNqDzOkirjNtCCybpIq7tR4cSkTj72SrcvvDokTqyrH5Wguk+LnBgmYgW9MJswiGa0
wWIVooI9xndaXnC6rqOn0cWSqIdBeDa2Dua+ktjYqT0B6XFgxuCqxqRa7dxWvIVp9wSweN0HTgiS
UHnv46YmvCx6pP25T830YWAGujFqRSw5cc+LiHvOrdi1ifte8J4qM/m2yZwb1bGOlRbuORLZi1wW
F8giX3Th3nepMqzIMgRVIJ0dVrhtMdXX9eTeMorz0Ztk4bJqZ6A6XP7Ij8aNAa9wSUoWNArcID08
XemEV4EqyaYJ/HLRQkY4WOr0PMQorPpc30Iu3Cc2m7fBhG6AfThiEedNoRlIlaIt8NrgaMrd6DPU
y/xJJE28DYwughjK2HKAZLMnEMRamKKoFybHYbe2WLPUNveEUR0hRF6LOWUgnvMGgpzkgWHOIEjm
NAJ7ziUYFVxi5cCa5Bd9cMo02Dg1r8upnV+eaU43kPNFmznxIPYjdwM9KrpKA/IQwJl3C1aYdlPP
aQmKNbib0iRBYZqzFHC5kaow5ysMc9KCD0BsFc3pC+6cwyCk9Q78eYJwM+1QYlyqRDZQwp0hos08
o1d1ZmPkOhhzwkMyZz2EtkXqw5z/YM5JELogEyIu6ZTMKRH+nBehz8kRDhzHbTinSehzrgQ8Gyqh
kBj1cU6dUCtf25CtG5ysOZMCcg36qJicCiWmpYkohwnknGKRZyliHLtv/yt1/hBt6AyOflXqPL+8
yR/7j/NPfVvqqLrJ9odsgZ4h86Ov/UdKHcckGxodn/VHku6fpQ79RyxAzKfUWeSgqTPW+K9SB2+9
Rvo3rny8LV+ief9NqeP+oOLklDf7fubxlT57Gb7vP3Zj35mNafeXDRlsQH2S+6Ibr+yi67zUDS4z
rYpfYIDnUMiMG6Mx4mVnKP61Y/fvSqiudSTEi8lQpkXgVJ6ap0yQbd6QSPqfZYC9dkhtueja/Mp0
02CjuoW/6Tv/3MnokoWl/Rms37Xopvswa+gMpg2W4hJoThFm28Qu90ZZI3ewQzRtbr4mXfWaa636
Br4RY+hwpbcjkQtOGy85jJw3CQwgQa8Pt/VrXDvnpvRPqjlchkG9LWytXHQ4O/VQVdeUfR1y026G
/xRUSvQebZ33BG/c0g8IcUUJYADc2KkmOsq+1LYaO9DabYhOTKLG8VoGFp6R+BuRpHJRGBlU99K8
AVnInMddtaSft2XNoIppxDLKaO1qBPU1OWsIcrk7y33NClYhHWJqne3trnloVaLESppxHMKiDoAZ
A3TRteHCGsa3Ti12nWavbUPB3q6Gd4EGggYE4zJ10mphSiSt0bSNdRvLvn1hm8EyKOQdh6vPiBsO
DB42SjKtaGwvq1rbtX5y0kcjXwSWuHK4Q35ks9YVct2n6YU03SsRqZ+TYUJEpqIsoMNO39PubzPd
fIwd90IvbYjIXW6uy1bDMTTYBy12blAQ5pyl1Dt6gyl7QXyYDP+2HOQF8plDIBPmKmn6Zirh09Ap
N6XRng3hcNW4Yq0K5aFV4pfURTFvWSOQujKwFxPzF0+n/QtW+FptQZ9UpnvO13TWIy8C2r/yzXet
tDz0HDkV2rRGTFsDiIquixAT84wkUwN7M8W2tZB58WTkgvN4PYtqhmez7Xm+qAXQ1DBkBVl7xtn8
1eeJdKWRrdApb7RU7FsxbgvRoNFBkqOHxo3FlC+ATb+gxXDUVJKb0TkMK2KnKFoUUN5KiI9/NJDW
qG5yFzfcpClnhmmF9MHNTL9qROm5ZYbhOZOuhzMVbiIGzwuykUhTeiSHCUmt8ZhhOC3m6WoYgLyf
GvMWfWN4Gnvp7vwkRYdk18OGAR2zshZ+XVtpsTfOlWmklO9W3DfuWa9VNKD90I9HREn0RW87q6Cm
srrBqbFCU5xe575Bn1sJjLsI+KNnau015ieqm9GkzCfw2e07Wq7QliAubIAlgg3WHGeF/zLdR4S1
eBkWXwbFxmPRWTGeRV63NOSRznto5eEgKfRxryOPXAWOO1w77M+LIgwvh3B6hVCxgELhrKKoWqsI
TNokw/c4aMQ3kw3PcT1Yp7Z9MZjmoqFUm1TnPrKQvTiorqDjrEXT7GCPzSwEcIbFEU7muuwoBSal
PsC4Ixmia/ZmmAcXKSezxBTX3F1tQ61xUcfyOFTtrQtUUhoovwO//1wL8w5E8UOm2syA8U7HKZFB
VTVNaxwXd1ZIPVRMFEuOoV30fucuck4ueONToI7Thv9KQMtsm6ga67FURMlhEX+LkbyPUOnK2L4r
qwikoflZ1vh71cy+FI27Fy05VWaF6MqoeiqlJlCWqq99Vof4ytHzM768auHGTBObxL6FotbzhhgN
uZ1O6MFXW4lJMVdIJqjek2pVNLxMI68e8vOLOtR3dQCSNQqbq7hlFdC1PeKqA/PrM2gqOIxdu1mk
PZ1lUnNdpMMZo3eb6bRJfo3nJ82bEk4EdLtVvG6gBy7Kks6c7yogldtxq+fafgr8Z2XMzsJkulVG
Q0euPr4oRFhcjwgB0MX3WxTEOXBCF0RnUL2gxWZAKtVyWWT5beSIQ1iWL9HEPAUGQwYlT26VXL8F
N5EtfQ5psHb99dii0nZ88h9Ev7Mz0J++aIlgZXcomxdX7yn4spRnrc7a3lqkaqBIbN3zoRW7Qu6h
razx8je1+6RndWOf/9f8+dL8mQuYf66IVm/p/1wQ0Y4R6A1vajPuXv/vf/8opeYf/FoUGZ/wGVIM
sUB8CQT9pigySeejtGFU60K3nF0vf/V/0L6CEbXgpELdopFMC/zPogjgluEQs4B6TRgWrt9/lVpj
fej+mI6Gt8b9YoA0TMxi35dEjQ+tMp1y/ZiT4KQm0ZkdALvsxt9pS7/Mdr+zDM72OpPt06AZiXD3
w4UURnUEmiX9ESdWsmsC1TE9oCFw5+g7FzokX6W3iWlqikt3bM+qpOQlkO2yhK6/RHbTIHXQkkMn
LXdFGKe6NEY2C9rMiBJ7+fD/7J3HkuTItW1/5f0AaHBoTAMIhI7UcgLLzMqC1hpff5dXvya7+5K8
xjlnNHaJrBBwP2eLNXV17RVOjDYpSXxxlz/U/IVwW/JbvnMoOXZJN2CjNb6jjJGnM8ZAeXNODcBs
N1WpwhfdyrPE2tMFWgahNQbcdHt/WCGwdNnMxsR4URz74hoDRkuhv8ZGTlXBbD7gnb9XipkCa/Pa
JypfOtnSYlG02bojj8signkvcBQ5OaczXZCa1L6Gsb8zlTWYjOHFddpvbCrvUbG8tTJBklHT5+dL
cmu24cmyiyTgaru33LDddTFwbb1tnyor2icOd588jk94vz7LKc6CsVBrH7WB+rJqrpmRJU4OD38g
+vVdFLSorEZ6YziUpUmfrQIWvLGy98GmraNjIzdjnqwEt+Jm2Jmuhs8JMHJPOoMfVE+o8i+hGmrm
g7LUuVf0jcNz9N3tCW8gQgzscTbdYFB2CGfCkRewukspex5+OgsxGnoFLso4oOyVIBMb9HFhL1dt
ogqXig841CIJMpHfNnmcBhSw7tbCuNCTSUuyMHbuyGsbT0x5sHdGv27c95IJkGb7e1YTi6+v3XNi
QVaIOheoTk/HxTQchJmNfqurX2pOq1M0Lc95kpi7WV9vtJlFURenIwUb7Q+Raz+0KUf3nsUeNvaB
7ZZABJ92sCXviszxZ7uyzrZO6YeVl19rWr/Gdhd7BVW4yM8cHI2d7adB39ncFzW28aDj3HbLR4ym
U4NqdDHHzUdJjUYbrI7SL6CQgC0Jdc64Ay8aos3emJrSV+0pEDRSsfpq52Oem6SFF9rApCHV0H9M
qntITBGMKwkaumbq8TmjlQqa3SRozDK5e/jDLBI/S7WDTgREAIbsZT7IaT4wUdyLTPl2KELdNAij
FZ9G+IXj4xx1PYsY+imnTByUwoTESIOw0+JJUIAZUolB3Uk3JpK0O71ZKa3Pc1RfokQNva6eMW4Q
0TC6c51m/th3+2nqX9eQJc1MId6YqhQIVBRQ8ZXVy+wWKfeUK8phzdmOsTCKuQItIELH5Ic1oZOl
U8p+ZBD3cW/tZqq4M+wVkI/oHqG6Zmq3AFwOMe7BrFf2i2WzklHfV5NKdXabHYbX99x4GCdkrGE4
1riYc1mZRc2nFpDVoWAMc/Gqbyfd2I8avmkRYxNY63Gn22kfqIKyqWg03ktDYH+rJj9UkO2Mqd4N
orxZqumtrVIIj4vx3Peqc4FIZTSPVTp6kcMotsc2L/L/6zH652U9Xxo5CRv4D8hBMoZIr+cfHfpd
1+H+Xazldlo8e2PswuP8UF0Oab9RPsoXtkIHgCmb8IQFYPDTnX74wwH3TyIJHGN/DgjIv16SxSmH
1EjMyh/vDwGBNhzMUbGG9Xa0P+rw4Ko0l87vSlX8tmP5l70g/+zv0Qguy7QGeq76l7A0vVVUY83j
ektBVjx3G6YoNzpQtPh//D1/Pv1+ezmligIciasfrR1//vc0hNPMQcTqrWWeWusGiyif35d//5r9
ElD+fPLxqv3hH/OXv2RgAu+0TL5oQfeMnW877tUfDq7yTXUp+Ixt7tstbNhA2z9dHT/fXMdLEjx3
23B7lx6nzb7123Pv8wt9irr8avv8738+Tb6Yf/35JAfcphKf7sO/JqDzgemlXFRxS+fwlRXCVr2I
F5biZN68wV82xzexm71rE0x7k8LiE+6iOxp3gmmTe79+lP/6H3AV/JuL5Nvw+fG/75Dy9/z9Dgne
ixOclgqCTSAQ/2jsE3/D0sC2Dfqg81sG+h+LNTpBCA8RUPqr6wFjH62tfJWpZ5Ii4n8EDqHs8k8f
IRmGsukjsgwKB3gyCbnC++NzIe/xDs3VrN70afUauiX6UKZTtqoMRAsdUd+ZgJX2A6fhVRqJg6qi
27LvjGMrqTpTSf9+gvX93MqiK8PBgtdN1m4EnZQ7c31pV8WrR5Vp2PniKANBUEx73RpCf2UgchmM
ErsmfplEu6FjkVS6S+HZk/E0MU4ZSVw+NlE0AKCvv5DLT9VQP7WCRjGj4EZjMZblcj6r5KSGrrSf
5ewWrVVc3qk61I/UMG4V3TqF1oRHa+KwKyYlZCPA9TTPG8xT/Yc9RF9h4UyBtpRI+0vdHJzSZYau
lHtizfmt25NoKawYS4COmBAutu2HCd35EZAwWu2RCGfQrq2r/+gS6y42m6vTc02s4+w10fTHvnK5
zaXaN9faeRuu0VM7UlLSdIfBQkUqVrGn7uOHqmal7IXcZ+58V6rppcOVXpTRKV3dR5HWgBdWCUXR
1EfAk6z+eBP6uO491vIlbkXzYxm62evs7tVBASQ2k4hNY1r+ZKi3Tm4IPw6TuwRY1EYpJmc6Lgt3
Z0o5f6rSKGeVV2dNTiOY5IOedveDxU1spgp6Qw6g82yLli4LQJpd574NtEHGlvDEla7G5tTFc5IR
b29pAZNsaleDUp0TGduMVnrAZe5eIlDWWjOqG1Sm6E5hLt6sickIzAWnWbSfeWUuFiRyycVONfea
x7Cyy7LFAp0Ro+3NIgvKnO1TBPErxr7tqeC2J8ndRoSBNrGA6JBM7k5Ux6HVrnVVk83RV4qPEoOr
mmR5C1PZpZLuPYL5tsB9g4IevJaywEaLS3+VFDKYkSS2uerBrlifbYo9RVh9FhQHDIyDR9gbd0Ii
xuNlO4AcHwhNkWm1Wk/tW9xCLMRqqzjOFDgaAMsXkd1gVmFSkVEvFai5CtzcLCgVYA1MG6dio79H
Jj+2dg5rrcMoMgwscGQaVlXvC8DpDCW7JkvvE4Dq1pC/TWr7aUrSushER8MedattNvitNbHhBcxu
Ory4pqEcUZGMnSXp7QNXbRrf7bPaiC/IXhDeQb3XujZsRlEHNRWGoK9R5pZ5PGRIjd5YqmTyp8+Y
1xo5i8mstGCHVVr9qpf1xWXBbDlVkMbgIhwt/OrVKbBbSRXJp4bAVVV5GRVDMywZb3FZV5eL+aOf
zMtEGe2mcNJzE9I0n9RF5mWa5I13706KDMV2RWTrs1C6O34+ulMNnO6TeyGsT5+ANvjROk6+K7KL
0xDZGFb1vnP196V3a/qapR91Vuajki3KoSomeu7BOYxZ82DQ2RzX2b1jlaaH35GuXUMPu0No86es
bWzu6UHdtmHD9UtX8kNRaHepCkwF54XlNcyYLJ7pxisqPsSLA5iZue8mraivQ2/NoS5T+TpHcLk1
Vd2goX857NL/e87+/70Ld5t/vbDZ5v/Pr1o4m//7sJU3zN8PWwrSZQO5ioOeCVVz2FT8QcWCwkUP
NBKJwJ3DOfyPw5ZdjcGGR0OuYqHDf/qHisW9ndSUKRzZbcJy6D9Qsaim+eth6/DnMAEAe+LOyp/7
58O2iUJMhmKEswloZ5KgvRHVWWHFRP1p194qq8TxMZS+mgYPdtdEMultlBQH2d7rlLFkb7lAE1qZ
hVQ4f5QO2H6L8dmrMTwGK8JYUCQrvetUG3u9MVRkfN0RLQWAYApJcJBIQX12YvzC9pMLbZDprQys
FYKkDYmQi3fEctk+9Mn8EsoN65jWD20VA2lSEncvVJr3DAZOPDtKMVwrymKlsVxs1DYVwWKyTa8h
I+Y8svCurF4FM5G+irew145ICd0p5mqgjlEeRMRoPWpw8UnO5qfVZsq+lzjGdjaXwK3mb6uyvsnO
pX4n4Y1dM17cWX8ttYrY0JBXG9C3H9oY38US/ciP+eWWxU1mQmPXR5vWR6tCocBPveWKv8t4iO/M
2vqAmB5EVX5XhHQrYOH8tnJACRmNlVVe71B8ftCMdT9ZWbRXXXpACzgT22xaVz9NFGs7KPMNTab6
Jom05yR0LqMe0vSgiWoTSQ5MWVPsm5a0Qo3TQbf690JQNNzoBI4Hp7tZV2M6Oery7OTp5NzO3RSd
637GeZMzerrnGDFklapISBcICVxcStVsJxuYafOuSGiEaZLUPdRSW9Ez7Qk2OtttqbtoTow/NNPf
VpVW12LjusPjYOXRFVN/fVx/qTexku1J122nVL0XNGEwzDt4S6lE2WRq8iyrUjahFIRwbKW+HuGo
qa169s2K0nBFqW4jupI3FpqSZqmPtkIMbEqBmQ4sIFGfjKHkJV4KP0znl9pMfth6cQ4R9zellK6m
tsdxogwfhpS1UkN/U7T8nTWWuREoX4trEM5CC9NUilakOAYqOVCkXNasTrCUmT8jpVGsfbZC+yKk
xuYgthVr+VOV6hvBQKwNUpGrMw7UEZEOS9Ir6HE6Yub7PO7PC2Ie/TvvPWMpyzjQMmgOEE+uKvLf
jAy4TEgJTag9RwUKYdyGjyGSIZEqSKNaZAR6zX4oQ1ikT/QtRGik+Gjd5FGekr3iwmQjR9LJfj+1
6TWqIXqHLihae7yZhHGvSyWz4BLWIm1CivIMxzlGQGAHazrVSKDR0j/LtWBUmtfRMG9ATu11JNNa
5eTNuuXVxJizSyOy9RlGUY/HHGCFBkeZu1Rgq+cx8cakfW2RamFqXTJdO8SouIOUc0cl1L1Gnw61
lHr5wKobXMb3OEM+aykL21IgXi1np/Wpvs2leBxKGVmTgnLlEiKREnNaF+kB5I83d2BCpRQtn7g8
pURFrnG8rQZujPgN1WBAw47UhbgCqQqVl4Bn0p2+WJd0cL8YRWSiwXoirHrRjSb1dCmRj6Tm/Eo+
4tp49cdIfdDQ03MprGtSYu8afGrCzPcFDTNCyvCRFOQtPm/DGj0Qbv20pWQfac4lG+NwF0WKErAn
vyeG2eIuQepfNPtTS2zMZtIGYCBvLtIYUCRUGfAkDbJk+Nn2KwWJDYYiDMWPpTQWDOSIvupYuVrS
dFB1PCOS5GWKx5vWjfeF6fxcWTVte0qUKDFWvYw+bLgtnUm4n7tD8VJEih1dVg0zXY/REunSPJlO
++hK7mcrCaDrWr1Xa+JuMY3pCGfrK3odBumx+7R6pfHWoaX3Mr/GoEV1EKMzqFEhmaN62R7zVdtS
+Jxvh968AzF6GVyF9mZJLE1BlzogTFWFPv9WUk3NKVTZmA2POsDTJFSPeZU+p8jKZLYcEh7AUV0J
SW2W58Kc7uopveXzwIswD08FWNXVpLaFxGBOgKrc0aM1sCjsH0pgrMIi0Aic1VDnpxLuZGiYtxbw
1tplRnP4H7Pkuto5zm+ywhxyFk68RPJfS1XrUYMZWJJ6X4KIbdN+pSSg47Fj4UWTHFlTEmXBysKW
pfB8XaHNKtl0KH/xZyWJFnKAdmglndaVnNpKEmsztcUbISm20cw6XnJt/7v9+CWjGf92+/FQEer5
J1cy+bt+v5JpAs+zzl7BpkzVpAnuD1cygKqq5ei2Yemc1fI//X4lox6OXypjGA4heGoQ/3glU7k8
qaQaf4tKGv/JlUw4cu36jxXar/2HLTMkqtyKUgjzl/0HBM60NQZtuQEH3t7a6VLcJ6K2X6vc0I7L
lGVvi+jtwOlH9TItJA/IEcS+MEdGQ3fqH2K1ynes4ZKThWloayt9uy2TBqRZo17zPHa5IIjwbDKv
3elzz+8facxBm+LxqlZs3hXHPc4aannXx/1e1Hr2xRey3KXlFNLvhYLe1t38XkAyP1JDsm4MeTZr
pboQH3Rqb2mXZ1drvDjXP5awsPGAENDrK2U6lRkUg7aCCDDDj8DjpN7QS1NthoRItmsRf6P7hG0M
X7vK1ft2owLWgGiZpt/1ImSjVln4OAmin3Zav8VzFG7XcPSSrD5CbXYlBBGU5+risMGpfhuJ6FXN
lmMy6G1g1CWro0bdJmqv7HorWrm6DvqRALy9pb/rJBQWIHSwuL4ax8Yuy0tjO2pauLcEnFpAjNmx
KTgbw2q8W1uy+zXYagL2eD0U09zSQ17Rw+peU4rQODd4dZRBie+TCVmsSIS46bBV+4s91Ycm7o6D
lr43tc3kmcMO0Rwr3YqoxuDcrL0XjrxhyiRaEPGZioIo9qlB85bCCmI2oXH0Gf3z61B/jFWUXube
+FYyFhU0A8OOJqDrQyhi3I0e0M3ucJbpm2yed9qYP2u/nC2Gi+LZavnN2IjbSnOe1aizvRxWbK2o
O0LneFQbvEE1f49lgc7NRyPCcWXSnV8Wp04X36ZZDQEu+4cxJlnSsTYhXg5StyjUGztyGRuq3aib
53R2LzWIgVhQAbPmEXby0GLRlQZrlNwUa9JT1IBDzMCXheRyMZfarzPlyaGNzV9n42SFxFfWIXwv
tPZTx5Pju8TxGeh3bGieGhcRb8ZCBgyYA7kvtaW4NpkJ4Zc88vBlOBQfCt1s4yCs5rM7gTjZooJm
Z2E1LSUCS14dieDr5Aba+RxB5fxN6fjvKlplXPzXI3LQfnf/7GEsf9fvD2PhAKSmWotlNMlw1WB0
/vt8TFcnuUpG4L+Xb/3+MLb/RvKcIDnvmmwql6Pz7/Ox+TfcEa6wqbn6bR39nzyMbVv768PYxYjp
WqZjC0IyHAF/no+zIhcuz0j7Ssr2GPXNWF76SVtgERZjXdN+kQxYlqYOjGJcRPNz5YK38CswAjF3
9Pht1ruHIm4WP+5KunD6YddMkY/4iBwLH9Kv8MjxqIPITOMDtybYB0THGr9czatwgYSx4HyraCop
i+wFjIXI7nq7jh/wb+/daQZ1GUq8SIc1MlFAzpQOjuWx2UJyit6Wuo9vwzBOrNs4X+xbs3RQmA2S
2DppMGgXvhkWavlo2YoehFwap22Hcawn2NXFyfPAVISZNZteMs2N2c9l1T6J0xS7ktpeptQ4ToN5
bxKGI39SPqtr/gj6la1dXH9psirUimEz9RjZ2j7lcql/xmUK60Axrtag0f45Pw887j2d6VwZFV8p
uI9FsiHTqGvhOws2rq5kAyaM+IVCRgdxPKOz0HzInOkGPBEhdiX5obn2YzEY36qRJtuu4EUxnf7O
1nlmRTRU7jGXga0ECvIOnZOhZUr2KieE30h/QZE7j00utKAq2XWXeq/QWqTtY6KG5Ti2fjElBz2G
zGkWsYwDQGrr2IpvtbTJucUt+Gy1u1AarFY9pj/U0PZ0yghPc7LJc6ExH5YR/qYyqD/UyvWdoSs8
koch7ZPdrijdjyiuOKdtHqjk6xNHAfy2ug92yDLPjTuAJcoPLGlBrs6HOgTK2+KHG8PWr9vV2hcl
KN4urH9yuJICTahKGZTia4rd2R8XUDCuCVfFHe29JfcwfLzuDByNSB/VtSdDxRAf3uYu3pGowo4R
C8C/EMQHxpsN1EfTS8lreHze/NisXodUY5sb9ceed7DvhsCEQLybTcpbLLWptjRfHYqRQp3GfBFd
f+WEeQRZlXmJ2j0XUXwfG3Hi1+qwE5GlHLhB65sxbu8XO3xUJ/VubQa+IiKpfY56LLpJspC3CG+H
cN0veagQ/lK+2kYBN2pQdLOYTAyrgO08DQXWSLPbkc6lI85Y1mNVswhdqiWoHHPy6qGE/jPSANYY
05kC1x85ZM1kcHIqHZKLldbtJlHt01INAqu1TAdQ8iD4AviGSD+w2E3B4vY3bmu8jri3Pb7qmKCX
wvLiQf9ZLDSGwRG8H9ba6webcoOG8iB75mpUEh/ts/FJo9Z6rxh8OkM5X3d58p0v2sqkYr+ak/mg
Ydw4jFWG1abVDuzsdB+J7hyPChWjBs4YtTCMYGrSmySyfEvJ7ot8vFJNo+B0sQVbj2ybFC4FNWUT
WDnLnQlHKTZfUmxNaT1yao40qqo/Q814V/X8i+TxoZl0hq6Isz5UtG+jU55pWHO9oiiei6nXoH8N
D8vSi11iFW/VYpxMpVroFCP8j9RjG7N1p6dObdMyAdRniRtO59KvNLPhW24TcDGbiwU8ZbtmrLrG
9bPVtbfGcfW9q9IhULv27TqMpe9Qr+MbLakTKp3BCsfLV7iwCFdtrrNln3sOoBT8vtWyGews5Vmr
v9eW8UBPoONNsUOx7BBOPvHelAwIIkuZqNeRctktVpbvccVWXpqM+ak2+mNY2fssK10PSzKL8qGh
wkFlfTYZE3ZLvsmiM/S9Gk7mNZkpxBm7ZsbnpcWs+pv7CUrGcXGoFBbriKG9JC3tJEEf6YufUAdE
305cX6gZOiwFF5ZypjqErr2tZmMTn3U+rXWbfllwIDekb9etWYZBZOjL3irb5lDVRpDRP+zHqFuB
47CF43m47gDEv7eOGZStsoumcFexP7mLlcSiAYrauqWbULH6wg1oq6K+wlzCO6vU6sBuxKGJ9HNq
J5QmF6mzY2kZ+RPIEa6Yy3KMh+FHBn81QLbTj1pNTIEwNijoOSoJClLVt04F7w2ZxsCkHnqjsGnZ
RLTQbcx+POgFBR6kJOiLMMdTlLvH0F1PSrLSRERCOAiz9a4tQj+K7QdHsa3z2rF2o2BPWtYgGQ3x
Y6nhtsqIfge1zlA8xEoLdaj/spqCTjxSprvZwbW3iKj3kIlmcEDxbZ9gMkQT8jMiFru6Xk/0vpzD
XPex+d6OLRlDPZV4eRbGm8Rur2S0v5yy+My7kO2w7cpLrWJyuTaPle4s29CK8NqsDaY6dXoWQ/ZR
Zcot3PSHLFIwGWMt2aatQA406u+cWo2oUGGy6walMInBH5lopT/l6lsN8WYzDsk1dAe6nUHI+1PT
gocKs1PpUDKTzmn0DIvNpw72jUGHPRJfXTsvfrZF/waBA6N7f61/WcD64isEObEVLn4st8ifh8rB
4Jhg8NIU5W5VEaqVPLmIGjN3VWWnvOUmYnCmmhiHPSHENz71vT2EZydcCiiPy5E2FBdGPOk/s3wp
lvY6lyhK1lLAsCZnwRt6bDpxMilQVGrn5zSzy7NYZ5cNoIEu/cbxGHRD1e86u952kKKpKFOe1VQ9
r9GpSFkcDTZVx5msAvyMOx6+I7nHtLUh+VIbYPYg6joLFnE3sUbLeHsK1qYpe/h55fOchBo7Ss34
1lWqPvF+PiRpxC/mAT4W4py0udgQ+GI5ztdux83tnRvYAZx40HDT2ei9BZCMKPxQJzdW42xCQM9C
5w+v5wqySHrKkBB2etF/GaSPIxuhuqZ2mOgh1cvls9A58Nwy2pmxKOAJ63gMkqd2ovSQTEriKXVz
WyfueWGNSk1Ccz8oZGbt1BRYIYvdUM0sCbV0awniEax6aCouigjuF1+dcpXVCi374bGR1aAlvUDc
OzdOnmxhy8rbQ3uw9fg4LenPWJhJEE0Ocm26q9Zdh6lAc8BWlr6Yz46SPRJ5xOdqGIWnOuaOGkbK
BGwuMvr6qeMdsKbo07GSs6FBj4LUFfNmNR9VpRE+1qbU5CAe2xNfn8dI1uexTHtmy0A9mVSZ262z
16N8r1X5AZSXHzp6fVf+KuRTy8SiKxqMl/ISj1Wl0lBWdu0Ro+ME/zCZRmck/Tkqy93Cu1OqZqL4
RohlLlrBXvqOmx2riZXsnCl825R2t7oR29VKCRSGer/MlClIjMo3ChTkcMQD4mChLx2CxuMSiW2u
pU96Wz5MhjUHWNh+Nmn7YiS2iTNe8C9N+gAX/yG2jY+6nG/nhDxkbBPRiJO+8Lh3dV6WGQ0bR+k7
YEvNcUKFHc1oOEU40nj/5HvH3RyJehO58bnB4LHJqZ+de/s69smNO9hn4VgkF+CGCXfxO9c4i3Xh
dlPVn5wtC31MjN+l89QlCaaIQf1mT1GSpaEzY6EG0xiHW+r5yWHH1O8wSmy410y+FZY/2qlgAxIr
nklVUNB01tlo8nstG6H50aRvFhV+lSJkkMUbupgcdmbX7YeRb3Sq8Rcy6HqZASyvE3hVu5WSjjrd
1Rq3XSTq96yBgRjfZDU0ULKh06wfTCLiWGvGq9KV+Cfq/qYw0x/1gtMhArk9Lcm1itSr6S5BXo5X
A54guomCNt+2SnQkYfWSTdGhj5O33u6farfCG0l+2Gl3s2U/YAWl660Am6i9J+TBXNLXgV5Eh3Wx
10M65O/8gE+x3LPa3AW3MTmVE0+FdwNh+6VYR8LRTXqa4wz0wZhW3lKsl2lc6IO3BNR1FbNmdgeS
+SOrHRgHINDJSLzlcAMTPX4pJgSp/25Xf21XTXpu/vVA/zjQG1eU3/9b8pa/7+8jvfs3JlPUZEsT
1LLJ6pw/jPQWvkByCJr0nUpd+/eR3vmbQbGoowqi1PwSDaH695HexpT2507S/0Dy/o1Y9I/9KnIx
GBsVD5uQrCb915L3j/4yQZ69wGVa3CAZHNkTb4wR3XHOMNtgsQlG00J1CfOLUedZQKHGXmUoSPhS
xINyKPOUPJd2VwrGJF0ciQp8ZAPCWye/7v1lXsU5co39GlP/lXFb9mI7eqNt+m4Mw2xrFcUH+wt0
NvnICfOh9lbU2FOx5Dh8shjjStGX4ApimuMr51zqxS1BB66ppBQ2q614rZt9cnMJ9FBg8qpukM5S
LtLp6yQgKFeldeOY+EW0gRrlTMAhHqzqB7ozJ+8cE+riYknLKpZsc3HOfW8f9JCKy2X+Xoz1gk74
mYfd47SMACGInVbWcLJM6cQZrRuzso95nzOZxeaTDlaYYp/3KbaCbqQdomV9uplc5xaXOiV51Q3l
v1ds10GtiNAbzCnxUhu3lmiVF1d2XVZr7atmeo5bLnVrvZyoDegPVA8zlXMfDGLLBaCbuu8zZ7M5
DmeDmtVr3dxxMQiKjEWJLW5s0w0Gfb5fBAdKSie33ooPXcRekiuvoxG+YKEIrAH/kjtObJbz4jNZ
hid2nOxkYbYSskqvy8hL12TDnTqHM2sOq3hujIO1dI4clTm59cZm1lKdIJyI7UO1gBs6jGB1oUmS
aQNv2uV+35TPAz9GyH7ayxKFNOrE1JNw1LUOuFx1OTUj70OaYp9IVWbPanHw7Sz6feJUp2kKfxgN
DIrEsh6NyrpXNJvQX2+dXfKujFJ27MU1F9Skje8VMzyYaW/Qg84GYG7SRycsvxw1AfVc3BVx9gNv
+nPkqtzdNAbgiH/Uvg4FOwkl5FJUzZFHk0ugGzI+aIfkO5KMoufBX91ib67ZTjUgBWsk7ssB4LDW
Dd+OCbbEsOQYadevFeUdrqjzc2zyajc5HXS/qjrLmbym3hElIN8iNrjwmUeEW1/WpX1q1owNw+B4
hpqySkgUQV8AUUiAqsMmb6uTShH3WeCrw5nwmlj22TTM+3KsEs9OXDYnYl3ZmqQATKkqCdwFMHel
a+912Tw4I2+8yXJtMderOoREURXh66N579bO/TCFLIJKhpUwPNgZhYYmH/oN5SzBvFJT2lLuwZIo
Q1SfuNClTTt6yrp8RORAPOqzCcbwim56snA9qyo1s7ZiYRISecF1wFIhMmrFlvAIQVXyzvRBRusH
jq+PfrQeWRY8ZrkgRuHcYixjyRGthjdprJX0RHleHKWkKNzeyoRgvIzWkSwneFfBXI5Hnk2Usnzw
vi5HozO3Vc2mmz4w3dcU41ubu0uuKpdZ7TFwwoPeItB8INnuWf6ZXmVRoazaNG8tk21vlrYiJt5M
D8ynFRYcJvsQxULuyfl5RmTqaeATyP//U8tZHCxmHkL+oTrEyZX7hltMV/CRMKwiOVa2/VS3zbXL
qeTDGPxd16z9ubtBQLU2+CgMAh/cRy0Y8yj+7TkU6AolvHHqtohKlfyjs5JPEwagN6PIq6BSeAZH
icNkPrZcuJZoH3LHo3Rw+WgsWvpdHo1GlgSNPigeEs1l7eObTqZLwTqgrCT6w5QWE4ii6rbp1B06
2mO98qysxIOI4MdUq4OkVNkfsKOPtRUfNf5xiLtcykx1eFKg3XlhmshOHLg3rcmHOuvCt9Fa39q+
uWfpAfwG4Bpg+oGOZ9ZtRj881LB/aMXg/dWVynd0yocn5gpZt/JJ1ySPChKasXvDg24XNYCmNaN7
XMLpOdP6l7ZxdD/PhhfDpTtUUIrtq6oWn9YuHf3EAS25xDKrHDXLJhc6bT7pQ2npu7UeKj/MxNuU
0euGshyY5L+hdWfaRq/pA22159G6m7rjGr5OycmI9Tu2CGSp4KEqxVOiF7w1Zb+zyopMOmJJnYtu
r6bWt+BBT7rIvR0T/FCNoYSwyRfcWNaabHM7GfBXG+y4p3NX5/cjuS57znn8JjR9LOKBTcsprsCz
Uxv/YkuqkNr0x6a/jhY+AxMYQmRHtyATEj+v3GSnEUX3zDZ5oXB1l+dtei4VHv+r0l7cxVaCkcRq
oPdzyrJPx0xb46lhb72d6uhoyhx/R86Zxv4qchsSu7q2N+bqm/1zfJnKnl0yZUSm/ZJivdy1fYJ1
qW9WXAEx41zMfZLKGVapkQMkKmFO5/l1DPvVvRF6C6JrVVbG3t44jHZ8zdvYcT4GY1l2q4QYxTXd
DRweaeACpSogHWm1eeBpdLQgIGWOQaVQT7BWIWj1jK2cJ4REJrFo28cwlAyjw1wXq9/6on6HS/TJ
kUNVVTyz6lL8Ag6ThvYHvImvpC4qP5vzr5nc1MaM4p2mYgruQ+pMysh6jeeCNmfBnn1COMQaihSp
EbgeFbpBbesU8WLXn716FEZ4n8GOUsCE0eFv3+j1HMKML0in5eoTLz+nOOypek6PVFnCdW9m3EHg
kp2u8039f9g7j+1GjjXrvkqvnqdWejPoCTxAgAC9meQqVpHpIk2kz3z63kHd0i2VrtRL/z/VSIMS
CZJIRHzmnH28YlOMYKkJm65WiaiUrWx4Llpc6qO4c9gFuMJ5yAOU7BInkTtnexq1TZ2IS8/nhKyc
Efdgde+V9lcO10vLPg7TIY9AQjdtaPWGAw4mi81mLjCa60KlcXkI0guXRXBAUJcXECiQIQojximb
1vWISZ5zX/F1GSvVbrPOVeoX80EMVaX5ZW6Ybwicd16ScjgTFkaR+1wTHjZ6wsM7ra3xBykfONr2
dNMP5m0t+ys+uTvPRAsoCSSr5gYXVCJOg8FVS2RZErZX4HWfnMp4HlSmmUO4WQOTAm1cvxySgG5M
Q3kYEIWWT3qxNNDvztBW7fo0RtGmGkyQ9qSnxSpGzdXcB0hapxlvH/31myBsTeJd5G2fjqAGuh07
9XZdjO4pN3wcgzkHIaFt9NZEQxDjlpXmcSDWravJd4tU0ptLlkc65PnFCvV5FcGUwhNbmyvoUWAO
u6BaDrZpsdYoUGo2LFnYku4alS5X6+mbh7pw6RM851UNCXQ1FLYoaJpjLslUQbF1JQh54FAK2ZKH
2jbIByxiZtjy4XIEZPF71EEHF7zP1o3LfUC1xQKZ4SK9aI+85p927FcJso0A5c/bMVCn7Zf/Woov
9Zc/dmTqS793ZCheTNKPQMk5bEYDlyXmbx2ZyT+ZtEHWJ8lbeQC/d2Seguy4FstZGzvOZ0rE947M
/YUZvWWiT9bpo5A1/50lK1ien5esPizxAJO25eAYs382InpGZHDuOyXJ3Yh+IVqgIxwIux7Hgsty
jIw9H7GNsKY9Tl8opUDyX/LAO+Q9ubpBuy0FlK5O7lNHO88aKC6bqocntDyKxKMRSerHSbef/YBx
qd9M0wK77Lqfsnu3Ds8puM0F8kwkoWXq3YwcShEW3rTS18J3CZNjgaRzHerXs4LlBwqbH6OsX+II
Z2Oot/Qa0PXnlJbGiNhYwd2fQ9ZpgULxo6PMVxp0/hHqDbU++j34Cc4qVhD/vtcfekX1hy4yKMx/
i4126X6i/8kAcFUYQKVaJakCAroehbE+DjABi/RrkAT+elKBAh3lPsVSvGf/Fu5JsXPZFY3rskDH
QaskrhxHG45hglsINgU87Dp9SCRmQU20pApG6bmE9qGSDBbDzEzb7e7rRIJJy+SD60XnShrDAv/0
0R5BjFgy7BZhBei40IQ6RHS55EDmRJbdqargRWdTKTbEtm1pTQ9OYT7maX8bwArDWw9TYx6MnWdJ
7rks+dYb1ikq5muKZwpBD69Ml9bPotWWYUepmiXVsYsRBFfwnuDbdtTkY7ssVcRFU6bWokIYuhKm
i2nVvcnCiQHw0Awrc47WEjvFBjPOV2lyg5h6c21aMAilti31/JhTthuiu7Jw4yxzu6E145kJu+Yi
E5R9fsafRqfyWNvwvpuCkXXK6l5aJ8/BFw8rVltKRlE7siBXWaVt61S7ZGPZnOaM/SrVDAx53701
XfMUVKJc11M/YhGzvaWZwcu2qNBx0rcNqiHE0WII103UQGod402fFqfIDl8n2TNv0/xt1Fjuymn1
R1vK15RedGUwhZhk6678JLrBp300xnw1R+O1bIJvmG6qVd43/A0bdx9JPFez6xzbrjknZSO1m7L0
xPw+jSLbeSxOg6x6BJYogU/2Vyyb7FPRKT1VG7yUmX7bOvU3v5qWtUTwNEcbUrlWVTMQ2KJtat28
KkV8nZTlYUy5rEkI7knTW8km7oCzdcPeDZ2P2dUIIEwxR2+TLvR6tqL9fGe68ymSdQMmKBk2kcq8
GiyX17W3lai3g0cq1kQ81jBbl9p5aVRqVt4FD0VgLARxWrXJuihvnf0A8yWq5ks3m7uwT0iYcLob
YgsWNdFcpomCXEvQW4TEdllNe4QFjajUb7HuJbee4S2pvO5mSEsLV2V/xSoFzKxbPii5V2yDyMDO
rdLCLGLDhMoPkypJzFSZYuUn9aDjySkqlOeFyh7LCSHzCSPz7OKjJJwsVyllZD0+zkV0dIxMYfoY
JTuKZK7XocfyoHrzwREf0TGdaIc5JnT9khNnwKJKGmewd+/W7I1rfR7eu0YJg93xFtZntbeK/tUo
8420Idcn3gmg1SZo8pgWi8+Lbzc2sL3oqYAAvMoGkpz8acv+c6VX9SVICHuhcqWyYagsw+vUa5NV
4ma7spiCg6c5Dz6mSF65X+IMvTdIG9oiAwCdKI1qTX04rqVmnkY+BhevDG6JJduNwgZbJHpU9Qy0
TPokSjA2G47XrvhdKb2zxl4GifwSSyby7cT4wRVijU/hIwq+JpV327TWbcbfhHsAGUVEjgyWx0ve
YrRn4ckRltlsThUbbWakhIZ2G0vpodcV7EFb7VvCt/N9CD6OEx2EE13j3cuQuyT9la0ZxZo3dNo5
5nirzFtGjrYB7QO9m1/sgpE9e+fXJJuyFQg14EnWVQzqVikiXvVmRhyX16hKbNzN9rjRYnlnJoDM
mG0so9jtCFxRtK+o+ZqB5YBlbW1rB8lILyVuQ3wgplnddc54tPUmXWqW3HYMFZysuh7KSuwrYzhH
7XirT+Uaafy0cVzvqpTBTjO04T6ep24zdOZ7FnTjgpAV5jzEZM5itv6xdP1aTym7+p/XU9fv/Zdv
/6GUUl/1WymlY55mGg28jqGIqnz+XUpRZaHLwLhFOQX9Hd3u91IKyrLpIlN3TVOx5A1UZt9LqYDv
h5fLC4h/9NXY+2/MttEo/1xJQfjxsJQhWWOKzE/xe7la2CV4V0CPnpPiYk2AoMxwGhZobR/G2YTt
O5ksgYBh+bO49Sf7De6KtvRotxGRwPec0HEsPGBaTRacLd0qsZC4b0GcnUQXPEL2e0Df8dF10UYq
LlcSeC+iyisWhq4q2eatbubHUtG84J0HmMKs60GX8VK4ur2ADPPoRu7MOMbNmcPJJdpawaLNec6E
9xhN8xuzyWIZAhMbgIoBC7wA5L1OfBidxNLf5eDHSiaX1yFAsnJQ+04QZYafQnwpenIUSn5nTFGc
oEDh9x1wM2rhUC26N0WsPbESBvMOIk95ecGizUqOVHhsnAgxgpkGPI3Zz0b6wl8xb1gYtvGNAcW5
ydj7R6QLEh2RE7qEacWoGoKymXM5qcXnnFSZRQSjbh1ozks+Z+baHUKP00AXBw+BxgoiGdQ3giQQ
rRIxo4BwWNRXAYg4f4A4ZgGNcyf0KnPtPNJ9ymwZJbV9F2AFJzez+4TOjaBb5wdjGCgie6b88crB
1RIzrGp71vgTngSIRZGwVyF8tYXEZeq7aFSaaauLcTcPPWaxJopIxoyICrT7pacw/6FjPNgelwBm
0/cqdZgngrbrIfzMNspat+HBicPuoQU4m4j3OqQ3hVaEnbfZQ0O5GmuPojYtdqWpa+s4qzBPeTjj
FJA+mzhAY/1pst1DXnHi5w6zPMORD2gLb6PcvjWYmKNUgqg2bhngh7vECS0u7HBHkgupv9K6Yv5j
LAKt8vaTxsx2zv1Hra99Qse0zRCYWz3pWbMn7K3DYT8HiK+RsbvEgRWrQIHselltkwT5nu7Nl8IM
N1ZHRqSGyaOuu8dZiCfhmB/szYFNp/JZ98tjEWYP1B4vjPAu7B0T5Or+Livm56amJdHLeBfi/FoK
hD3F2B5yLuqlmc7PfQuX2pBfWnjRxGVfBWmyQtD2gjSvXYXWQNegs2IVtZJK1g8QDftF1TGo0L3s
KkMoVSn4X+u9yIAysu7cU82VOKNGxw7GgEwbt1C5l3nXvaLGuTWZmnoAZCzbOY+VjnnMnc1j6vfY
td3iOGc9RW+0yYpvGSFpQKIw8Cn1UKLkQsp/j376krgOsWFo6QLl0W+95nlWrn0S6L7kysfv6Fm7
1NF7GcTmKA7ovatc/2NJAotVe/cFQACsBS+zH58EoADL1LaGIgcEIATQl+7IeOAxAtSMuIoHMLwX
KcjnEPyAkxLHlPTGPY/xM+UHEe0hykSQBfinvwVcq2vi7C9lyKQ1bwxbAUY9oAEFXDpFP/AVB8Fh
LHaZsuA2Y3GziBUtIexjfY0aYNgUbvA2glTIQCuEBowF8rXDFXIpuAuTxIuQOleV39iXGTgDYgAw
DUjv07uqMJCgUbkQqvEwl+WRrvDNgNJHlMK0I6pTW7eZeY1OlNlchVBzEn6xYYH1jvJwXndenDES
rgQFKvqyqg34CyhEYKpggaFdH2foga1pIEI09jFUwRqWF6wv7PozzSIeQJh+kCipYxDxYo9ScMIp
ilZpnHdM9OzVPxvtz422Mur8+ZW/Fe9F8cfhifqi32584xdm4rZhEzRGIKbSmv8wPGGHrW57w3HY
xsHV+/eNTylArsx3C/e/kXsKUeyzegYbHAAKwuLzd658uCg/X/lAWbCC8z0huoNLVgr2HzBKxdR4
5tj5wdnMmYsiRJqrbf2ZbWVpDE/XTkz25SuWSNw+n0lYTE2KJWO4I8kBx7ogChDgwVuGj3Fiu9ib
bbSZbBvjWmWJUeWAzfsCFPm664MbhNcfghyuJVlUCLzMreYRCtkkqG/lVo+qrV+gmKq0nZaIN6ce
raWXlscoHW4yU2HsSClAwbyDJMOmgRpf7UoSmmnK92kLWvDaRNOXmKwth9gRm06fdmx2gZ9rxlua
QyuXvbOvfe+5sj3SQIevKHxOJJMJnCrA7F8CqLZt6GYLPMXv9eSvMszVizTgWCaPSTId0jaQvYCT
9MZOtuVVnyG0HlqdiClLq4ly8woScpnqEw+sr5pyfkIDfwKbkKOwbbgxMrgqJiL32AYQYVEJ1ZmF
GK2OCKwejC9+BkKsARInbVoUo+xe8jF87dIUHWt5HidaIC0PnU3emBX2wmIPc9hD6gy72ACSttIH
u1+UuV9uq7i3Vp2W5wyMAiho003uZFBI2R+QH/Vtyrn0dJhwKKdCvNuAxayINaHZYc8yjI/W1A5G
3+2HdjqmuA8RwiE17BuPNmfohmNZG8wQbPTmo9tyU4j3XCuGZ97Pq9Z5nXP3ZCfNshfiImQKiyW8
G5q0XdZE5DUrWGIyPmpm0SHMSjJKikoQuuouCDYI5PUYOd5eNL6NhqmPt4nvsw4mNi84mcRtHbys
7LdwTco9fxfGbLaeVIzU/OAuzELAJ2IyRhzWJVuZ3pmYBtSOLVaiG6OtwQnNIopIo6MnREdSrOvv
YN7oz/8ch5/HofWXAp9fw7OKpP0PFkr1lb+diToWSpQ8eOgCvu3vLJQgpEB/ImcmqAaNzw9novuL
anIYN3+PmvmtCXKVYohMLcc1kJ1zJv6dI9Hy/tAFBSYMNt93GGzTUql84x+PxKabHKfPfI1U0zxF
2rDvEyzQhXCZ18IE3WTetNMQeS+5TG/UaFpZ1KvFILHYTLhiKKg5XFjqVuSRLGm0WKYNU4hjxB+Q
ujdvQ47TJx1fK12e2DjuZ8/1j1Uu6rVd4g+srIcoqEkVzFM2L+J2xC3CiMX66hq44T23WYaWfhPo
RPAOfghcGwGjPnofo1I0pkN1lyNx9AzFcc6wYXYaFQUbtWe7q7oVXtBVrjSSKQgqsJfapkC6wunB
yEwpKu0QPnvT5Yf4U27pKOXlPGD2WIWj/Vp9CjPTT5Gm+FWxWapYVWKW9YozSOWvBpWJmJhE1sog
m7VXKa2cyODPJ2vdOyS4ZirKVWW6BngMc5Xy2unpt5bYV4JOmDKrJFirvSYUzGxKD3AEObGEt3D0
ER3rqQxZgzDZVKXKjuyp19NIWmRDlKQbNs1B6sUb7KMUTo6IS30NPoHJn5vb5o38HNOT/LAamN7r
Mc2NRyZPM2b6iobmuQBiQtAJqiic70c2adNS84J14dHNRhXirfK6MfDdYAUU7A9GJ3xmL0HFnbFb
KBmGQRXT96i/qSP5vdd0gSaFcIlOVU1Z+HmeSE5PDj3MdyZgzMV9I2TOOlj5OfT1e9hc9KEVh3zA
5MbOE8IY20EmjyQZm2JdC8IO1sbg47mfbpgn0am4mL1SxYqoK/0uAlAQypoM+No6yyjYaKO5QwF6
46TePhTzNuu7HWKKBiJmdN/6+XkMOEpHU11vPQNLxToj7Td1ur2dp0+OV7JojbfD4D/mGnuNoGZG
10X3VTEf6yG5q/PuOWlB9I8II1IRV0uXTDMwWBai1MEBXImCY/SmIyoBHWoKV0jXpe/piMCl5mfT
pshZsxsAJ2uSYD2TsDI7rybQrbDQ4Yt34gTW+jZ3ZLWfCPQ9Wpp9R3zmW6Gxpm3u684wSDQNbqI4
ZarcIz6dD7VrPOpBOqzSMt02Sb1LJjbJJVFMSZO95l2UUHaQUtJONCCyIg0hStivujNP6PAlCOE+
6PkAzm1m+tCfY4jnpjlclY2G3W5ERe28WZXurogRv5ujWIEwnmQ9KCXTo5C6sdbNaSMLfCZJpl2H
erBN8+K6QyG9iIPirQ/p+qyBeW3EbMXqxZUQ/G9GcIW9r4Upku/9qDv2bXHF/zmzxbIspgA4saie
hLkxElitwMaL/DamPjQB0EYvKTHShYOwqXb0jxkUFxDXlyYYaHB7SKv8CJb/Cu/ghNNNW5ZTu2Jk
sGxba1dH1TP8N5KGcpC07NqPvtnd+oZkujnScNa19Zx09X5oaoyCPT4B38a1E+09z7oxiZJZTnN/
cvqB3Byn2IZF7e+DutrFmcfNnT0xPT1GevPgFZXO3J2FQGyvICGfYhJaMr17ynL7rk54L/Kq/2rn
anBUn5LePI8i7/bRROJEmvQ7YcorGZi3PCSHskPSQibuuQn1DcIKMhu6/jmHp0yrKzZ9o19KMVxp
gXGlkfjCCl7b2xNKzJr9FDaZfB52Q8/8ZM6OUB62rZhv2j5rQTPIk2XVqP15ZH3Yx3kjHvCuv+L6
O9vS2be1/d7YuKxLd0+y4mPfJHeO39yTES8Wjhsi/4z3Xu+/ZXq1N3J8XXNe7vEkHEncPhSzySfM
GE4xXotkLl5HYd0Rz4Gaf2Kkhbl8maIFs9lLFlV1Rqp9lXj+xz+1yWdtovbCf96q7br8rRTf2j92
a+rrfqtMLEVwYCttQd1SOuIfujWbbGqKC8vRrX+l4P2rW4OCbrs4isnQAg/7OYX9XprYat7L2sb7
twv5bwxof6Zt2cjy/ABIpR2Aavd/XnS33TSAEXKGS6cfIqKhptuy2f7wR+Gpn6Ky+K+iyy8lKVfN
//z3r5T13+mbYYrhc+SGYegMjZa67cfqh0LAStOsqS7WAItcxUA10IdjyyysS6wzXFSs7DG7mcvE
9a/jOPae6V7M7IbseOTK7I7Ng+lWy2Ys4RSMSF3E2rWS9ZwY2O+4BqdJXEJHQ72l7aeG7YQs71od
mdUUU7FI73ZMml04ST7i+bih2jRWji0PWjWcNT97E1P2RSNHqquqfSrSZ7BSmGeSmNVHs/ZNsffi
RqLLrT/qzmMVmAwrQTe1TaTN/hcOMiKyYSd7pomdR53k76TVLPn1niNX3+sBiGjSKQ9yLN5Fw9yF
sgceVf4eVjojwrziKtFHfyGbekOG8hHRyrDyC8WhQZOzqDz9bWyKg2Uz6zXs4p7i4xCa5kM90nmY
Sct5NzXLeBq+EnRxmOy62Mi0OhXxOKwC6VkrJyFZNCxrDkWWO55dtiA8rRMxKfDPGutGDKSizX33
rKXWZh5Y7DFbyCEWth+pJ/E6JmYJe6G8FKV95Q21va5sybY4k4Sy6ARUVS0d55iS6ZVUJqKD3keH
WM1PBieVxdu5KDvt1hnQV+amuB/yAMWEn71oskbiOlT7AJnYtWgHA9RjdmAQStKKIW2kUdExar9a
iOCDDpV4PphLe5T4oUTxFM4wKkPpY++MjEPtd/WqJYlv9pyvVQJzaZjqKxb4X321fiSZ9cPPWRxG
wBdWsg3uQat92Mmw1GXynkgUyUZDLJdJAC2lx7KM8ktvNm9GmurL2saEDTZ/L5IM/23fboi2gMtm
QcO2m5YdvqYH6K26Czyhhz4irg8lA9HMca2c4nfR2BLf4cFoJZllLeyaSDa6cxCsyOj99M4kNBoS
E4LFoH/K9BkH2uR+pAjN2c7CbEaXu7Egyy60kMUHyV/s9tKkWnKuPESTvCPShfsjs84RuSqruIwH
Htbxldgenh4WF2t/4O/hefNL5oaw3JktsNJ/t43B3fS1/pBFAldQQeau5icQpVrcotpHq/kvGiuZ
hUucpGcZlIVjCONq7ZFsb65biyzG6pMCjjROhkhQMYgTJyDvnWggbMZVa1Gglg8Z/dremcf04lrD
vZQUaXP1nsPVg5JCBEhZfTNayXQZSyhkJryr2UAufZ2kT7bdroRLUmfjPhbBetxOKNyPecmmR9Nu
6y4N1BREyGQV5oS89+BvNW9EMRZU5bIRDuIOnt/IqiCsk5vZOIBzMaxqHuJSPpsLK66uaQieyZ55
T/RRLjjWSGBC7JkjJeljLAC+/UUbOyqp5JA73UvUkRrEmXNbF8Y6rYzbEgnsYGi30+StXC16NDP3
pfEdCjv9KhiQlXr+ZUL5OTftBnn/Mgymb1ijBA6wdJU1bbbOKdgzaS68pmYci6e2rvprjyirWuKz
IIx3BZNgWJQBprgU1VyoaeeprekrgoyopOYdKs7GlOOT1rw7HU9i73oby049MlZIJQdzFw4M2NJu
0rQ1EhLv0Yv6Ee0IaNE0op9w/KqtrjOLhJzS1u4ICV17PZHFKJY4txZZaVdE9mG62LZTWS99FLfw
A/PHTDabuh2eh0E8IuN40fPautE7Z75w4clNLeQXaTJMrq1vY+iflcYVwmu0KnI8ow6OilUie3+p
pWgZECkE9whkplOUx3dJFL2lZq0th6wTVzW2LAZhLfB3kD5Lu41fCkb62hDfJwnbq8DSDl3fPHdG
OWPqRUccKqB/xc+36BPunmWQcQZ0mnBXTVfNZw3x4b2bYpCeJgIfI8Vp5lPePIVB063s1st3fJr9
lRQt/oK+36GJGhCmg5O1iJ3cklkcM4mqAgIjWMVgeHV2gwiMHXO2i5O1t8QiKyvYNu3V8EwLv6I5
QC3sGveMAZ9rY7yLnNrdB3b3rIIo2QzN4fVfX7u/HzlQOiCwC2wmDi5zWJIHGSD/eOm6OHlM35Td
pfSHtWucU//e5adGVU5W2tNfv9bvqwj1Wkyhkd0ZAKc8BH1qIvzDxLdBQtuayJwuPpvL7FFOm1h7
/P97CfUj/PASg5BCDJ0YLhUfTMLFaYdf7eru/+FFAobgMK6osZTl68cXaeIsg9c0DBervpflcdSu
tX7/1y/xx7eFP9UPL/ETS6vFQxUZ9jhcbNbHcjOToE4VUnhf0un/eCXWAD9Qu/71pvzwSuon+eEv
hgnCyd2WX0aifDcKwBDmocuxKZJtepgJ+/3rX0z94L8v8gCH6Sa5g7plBfBzfv9yrJ3GuW6Ngens
s8Gu2sNlEl9N+T9z0F+VIA4P25/3Gi8oRv/YZ6iv+a3PMH7BSBgosSpvhK2K7B+2QohDdEdHA6J/
Rir9thWClM9bxvmgePm6o+QZ33UgcJAMS7HnfJZGJiudvzMCBQ72u+dDQeTYCeGoVFNVDqTgp61Q
Ww9pgVF6PFdtqC0qH5FpWN+3JrFrqcn0gJSG8p7NqzibbZ7fNV1Y7zTd6HbdHBqQT0aMzyXBvdK2
rsHl6etWkG00eSlSNLdftvAQrmLZvwXdUN2Xk8p2lGK8BBhrwIcU3jLowvLeZndSMzoEyhWsetLk
z2wB8BcMRXQLYBVOI9kg64j4u1VjGA9w58VOCKsjwpi0Y4ZY1uRTOnb1ZrRTc+X2mPpFwlKKELJX
TXcHdhn+I1158iAx251igPkbvBv0CVkxLsFpmufE8MMN9qhgJ+HLnqPBhA2a43IbKi9Y0bsHO6Zh
7SKKQOw1oFnsigBGOrBjJ6dtFmgvg4NJtC27ZUAs9NKJQdN3NpPHSF+bUX/Iau2qL32CG41TWeIP
1NuSHsPtSOHO4lent7+MLtBMmMBPESPm2inEuoojBsVRctfaMOQsocFALtAiulG0y+Ze7jQ3f7ci
StaxcA9ujYS1nTHJwbEgQE5zyD0PWeIXzvzCG82V61Z33HzXtpjegObvLJWkblfWt3BqLti6+2PG
FgY3CrZsOfjXQIbgmIfztVPylrYQdZmdXbLcejOt+mkesq9aCBSHlMFDJsYzchaANjjSkDjTUuId
2dO0OEuWMs2KGPczJxRio9zeufjVyX1CG+lZhLob8UsVzTeEuV6lkiGVNs7aAokomhZMiEuXbHj/
jP0ltd50SFzT3mthd3hxdIVoemb7yGZtJTCoU8A571qTbaD20KpoE4RoJV4h8/Kk9+LQo/KGF03z
R5F8ZNWQQqzDOBPqBgo/B1bE5GQgEA2kItqMxYMVASqaGplnlKERxlQ3xTiYCByF0ZkGxPoAtXOz
mT9y0oR7bWokzgporQMf8KXOk8pI+VYUAGD6xN6PfqBqoFy/L+KwgTFKUFIJ4wZ7Ls1A4OaKRQIj
QoeNOoXv02TuEs139pnj3Ndt+GoWRbv0MhamXnBN6SywzTjuIh86FFnC3Wt+bZ89KsIFo9p2WRmJ
uxlRCPUZWPuwdY46nEHIFVOw1IGa1KJLDmzLrpDqgIApcbkhJILv99wY4Vkbos2ApHRjA8VuJevB
JZbcbUP6E6kF9G9SvMXC2fglPCOTj0mlOIVmnr8idTiMimCYaR75MopqGA/wDUNFOkQ9FR1w+EGh
8sPrXmpkegfu2iTGm/iCnucc/TnrkfFmMhpkukhAD1yX/qJTlEVcYrhQmtLeThFwDV3RGCtZXEWK
zzgpUmOjmI0yNbStrTiOpaxuXBDHmxnEo6ZHz5WWWxczxczD6ZfttcQOluiRDhqCtEixIgE9vUgv
jT4aMJKQ2jr7xgMtOX9CJotP4OTntfEP+c/iQvnz+/Puy9f6S06Q4X+4RdVX/nCL8qmGyuVxWPwh
49l3TbQN//oXvuq7toIgZ/yoOrM0/vN5Vf5wi+oGdzLpQz7B6Cgz/tYtav9BW+F5PotMz+Qy507/
Oc2IiUNBxOg4MMoGmGSjrtxYfZyuVfOde2OLiiwDnQECrX/BeXpVNUSeu2wUF0xsEiUsb1Yg+Yzb
KHLXfNpJzJ24G3F4aFfYTr44oTlfB137PriyWXtpphbp4R32VvfE5yUGFUJnV0Gxu6YfWKdR/NgC
6RvYbG3wfxxQRR/s2vjIxulxiHOIXNlZihqQpbkLQPUpv1wMYMeq2DGxRJsnS6hFWbOMAuKROWDe
U49kG1d7zXrtfehjSZ1A3s04ILQryvybVEuFTNdIfOs7aGwFK0uU5AtcXG9TbGcq5NBYClKYMZWh
H++m8jHOyxvTJRikBCDiTUztZNf29H3bLiLfbe9W1i1LrRNylPeZhnkqLq5RDaBxsuuCPGNmF0+5
tBYhGR5x4dz3DpePnn5MkVKLCfPGV34Tn5gNBjvNA+4VE99nW6HSjsVmbAVJMAEpBrULage42YoJ
n71rfB2kN05DwrapSObSnpdQWedlE6bBGp99QyvK5Uvm3CLXrG1HpPKtQ47fakRmB+yNSYSREBXo
lJp1YliALRERKi5Pho2YVRnljmxftVLfcinuHZ3IvNpqk43dpc6uYxCRPRaRAm6bir2dNgrDLT6R
3KKfl6PlDot+TAbWQP4Hc8vdCMg7blU+42fMavsZuVo7c/INszTploEhgl1iG+HGaeg4PZ1zr1G1
T6SqoErVQ7mqjHxKJHyvI1CZ4DVT1ZOj6qhBVVRaRW1lUmQFxQDMy0FrEWLcUHUYIpIHraMy61Cl
rcdwLra9qtuIKZEMT8zi3CiQlKruLMq8MZ7YImOvXSLNKZfgEcdLoepCX1WIEaVio2pGLzN7xKLx
e2XEI9fhBI43MK41XxWbOmVnroFS8oK229WqJjVrV9xJV8KpLb3iPlO1K3cf8wCbupOytm1dQhOA
F6PQdXajSxZ1B+AfhBhY4baczoMCDWtWDeYnAz7sJKwCWwUknpLQPbQT9JiwWsp4eGT6xpRPYYzL
qGJzbwcT7jNb22taMLxm6YCGYJYhruy22I5VmX3NLKfZiW6QDL78Qzbg3O0VRrlusYmt6hk4M5a8
+mZQwOU4svyT30/XjesR+ik0UvdKYIeQRKlvdX9ctYCUTpo/4zgyMn1BNtO8/uc++nV39JdOyX1e
vdfJF/HHns74wSZpsCBSSYhgvj/VfNwG33s6A4WKDtOG4Q6fEoTf/76NWDihw8deGfCFv5orv/d0
5i88R6BjbVSCv6b1/o3dEWzbn3o6bjXbobMkMBG5HyG/v+/5vVjWxajJ6TRaWKQ3PCIkyFYeQUgf
+jwXDqPzlt4DVR0sy3lXupk6qREqM5FybcgbJoQpnzQAPtu9Ny3AbH+lmm+WZRB+IQ/3DltdjpIW
0becXeAgDlcGvV9zKl33A687E9TcZM9ZNMkGcKC19tjOr1t38Baw2ZwjuuF8rxWiZX0DYXFaolin
30wjQuyhpzMdDI5QP7MrLMDFil5r2tQO24lWIrgQZM0uibbFhgVz99rup0PmoGAv2/AqT0DxZFoA
jwoho8+uhOwvglSnzRh4sRLrw4JiZk/8lIcmZmTCiQOA6FNbexGcjZU7Fgcv7u4NN9YZXkMXg2JW
cQtO2nWdul+BZat4Nc/Y0uJ9zGn6CqoMmLTdGznmUy88VnY6PdR5iwqojjHzWKjX4vS9jWbzhTUG
9FJ4upuesK2V1wjaNZRqkh+3CK6IuTAwBOjawa5G/eiw2NsmsYmHCIH3scbI44sovWOzhZVtutcq
YuxKu0Dz7Zc3ngtqkajeYunrtsu6ga3cnEFWsfUBPeSUaUcjptX0JvKiXvoqAhOrW9lVG05Gu41y
DXwEcpLarc8x711vQg4+TQY7mIUWGcr2l/KdMIsFWnuu/EDCykWlB8Wgncx7zexEsofsjSqjL4Jz
QhyGhNzjIyrC5mSF5wB9EWS1LPjojSA7mkBujSif7+yeuevqn9Pr8/Sy/49q+tPnXXfzH88v9ZU/
VNOOb7Dw9V1kx59gq+/nl2kyXkKExtnh/xTs6OFawikUBB7ea4IRmCR+P7/+l70zaY7b6LL2f+k9
HAAS4xfRm5qLVcXiPG0QlEQm5nn+9f0k9cmWZL3uUK/tlS2ZrAFA5s17z3MOmDedJNpHBvNktMq/
JcszVbvsu54lv+lDpmw7DusY7amP9e27FqkfaKRMExBwzseo2BiTQxipSX2VjvljVAsPU2Xk/I1J
yZMmpNXPdruvbOO9B9hFE5sNF0OKZTC4MyJfvdvJQq5pzdgUjlhFFnmHfkum69iNPw0BilOjZ2za
55QraUu8oUsiChHVk38VVtm9XdMOqQYV4JHMxymZ7qVsMfqMHoNY3IEH52dXabvwAyENR+m9dEKQ
LzIkYAEdg3Xi+9dQwuNihMhj5t5tpAmkR67gzkH7FZfjtNHHfK014w0A9XlUgF+qVZc9Q2FpVVtb
IYA9LGDm1reAIDRnpuLUKFxQtmKb6H4I7tB8nhRSWEjZMwkEMxTwhrBItxQnG0Ie7YVPkmBT19G+
h1E0jNBdMn687GWF0GmW++CDaRyzXagoxzHpwlVaq7J9vgmkIiEVE+kqOjKN0KNlAJN+GV0wMFa6
tHQ9g1TGiq2MFGUpi2g7KO6yUgSmplhMQ1GZjOg2HZimULymANxMFcGJPOkmhl8pmi8mgCeK3XWn
iM9IsZ+h0byG6O2ovxlwWQCisSJFhWJG2ZmYDUKRToonxRVl5wGYIhTA1yczTpViT3VFoUaKR6UX
a25n07yzFKua9NhsA6+WimKF0d4limt1AFx1Rbp6OAkEoK9N0V4NoLBtqm9T0NhCMbJ4bj76FtRs
rvjZQI2yfZDaGbR2qqYnE9QWdPnFUuxtJvqbXtG4BlgurzyuR0DdXhG7HJxA0IzpKlY0bwDW6yu+
txf1J/ys6YbWhrmPAKlfQi1z15Xb+fZ6ysnE0eeNneDlWuPmeSl7zb0oZdFcjw0B0CzxigUTJUu0
7XhA2SRm9rYAe3IZYo67lpDwyRYcpIL62ScifGlN+c5KSl6iQc7fJbt6QLvQ2XzFHt4dWhbO96Is
2EzMaViK0r31KufQGtNbGlbJykjsmzSgF+dgdTxnwEQUEIYfk1/j4CICoPUlnkt/3xbul1H5GwsP
aaLd+w3z2Oa6RcPAg3gKKFRWRJiVeEYB20euhtmatcYuTAE9HtpVAttXxdhjkTrIaRMbwXtaYkxe
T4wHs1Y/92FXLJ3OMlfBnB4qk1TUWXeqnezw1sHlEreliyE2mxXusc8x/sULx2nbY4hS4CSG2n7T
9SC5K7AN36W9N2FCl4bMAf/dnb7W1v+4O+05xf19X1LCq2/7kmEjCUeOBRjr/ZTxQPwDAlvdFP8/
VIeS9luXB/sRB+DGdVx8Ienl8Fff9iX7D5KLXZxC0FAptfhvEjQ/24+gUveFeg/gu4Lc6p9GdyJM
S0P2bnuZJU5InHAarcYiQ7lyPZl4IijONQxmZ22FvR5y7/fJwL4DvEWWE0ftgccswmaj8qJqwvXQ
s7Gi5dRr14CQo1N1LKppKLaGi5aER81Kowbv7iDuOX8HfpG/zDX39pXbdX6dr1y97K3DaNsDEB6e
inHz6s5tPc9kdAVug93uWPOEsbuF9TZuSv8UVnq4l2ONh+EwWPcVTdvEIwir6orEXlhJjJCpGvpD
NOGHTzBDfuliOHZjOMnwSc9tuySqMJSfeqseN2mDOQYmAAXCmQJPAM22NsTWhQQIYMsHrCqmazTB
wR4L6OGU5O5wacS9gvvL92IgXmIxmmb96kXAI2lrmd0yDGwi3zArvDOHCq9iOjrEkKb+tg/TAb2R
xI1wjrapZokbb9ZTllFSGtJOHy08xOFi7LbF+t/Rp8uaRMdN0sUNWT4GlrlNQ5QhYi/xicvU7iqc
jujRlL6x8v3QfBEzphDhPJPUk5id+SmhrX7oqkbuJyCWJ87uYsVYGifxEpnE7GXdueuSz3yl+b7C
4fTWaAB4l7Gueyca5f4COXV4OWWJXMnJji5tUICt76P6Jw/Zu5wrGhBZlTOMmbJ6GYLjfEbQnx7t
IWgeukyF5bB2EpoZmYhUjZTYhJCBxuQzMzLGyrlGfqRtqMybKxHRssM1uDjQNMGVo0kuaMvNKIE1
b1PZ0/g+kCu788pMXowFfW5AZFc70dHQL7KoSQskwqQYtC0HjGry8m0pMTG1cHWiWVmzBc+mH1yk
teY8IKJ6JDPTPJoapRlvP9hoSHpPbDlKbFvr52kOx4vUG+K9jPCspt8WI+4pp5uwhofom6FaT1E3
Msebg01TNY38t+7/OoU2GBv/5y764a3+BZuofubPlRVrXAP3THwgKNI/YJs/K34dpgZq0Ya3wezW
ZT3+trKyfH5IUBUiwzqqVKjfVlaLlZWBts5ZwEF6Ln4ryszlnf1Y8PuoYQz0riaDcANR6k8NC6OU
TN/m9tIlAnyRANmQPBmapHVXlr9FZf3aBHLYVKUd4qY5E3B1kTVeR1qDG5nxc2SS6nAOgwJrJ2C0
MkNUFePFVGp2516VCPuGq3woLwkoi+6wYSfaL8SuhHDBueFIHcYvIrVZxPNJbks9YL2WqH8CCG21
xJvWHG7aj7u1sscaYCLQMmImjdZNm+csJMGxXIxkGOLoLjqniZqNycHFuOAgMhe3cubojSYVjHnd
FvS2fSFBF12s48ceZx5CzuItBqDVeqjwL+gTx1gPY4VFAsHcDyS2dQax6pMzr0XTTbiWmj5QdNoJ
p6KnE2iAdVapEYFRzs6pm2DhV6VZOLe4wwLlEMKAxzzs59Yg0729TURa+2tsCNLzaDqhua1c/pvx
Q/E0D5aPgRJBk1iujmHh7sm7Efq/jcWvj6hSJf3nR/RU5O1b/Tb9vQBSP/ftMTX1P0xD+C6pyWh2
hCpl/nxMjT9816N/CPmDTO/7xEFwOag4FwzDYlz91zOqqh/PB6+DvnMofn7LMoQx298eUjZIepqe
EGjJUZT9+JBmJRv9pFwRMzH3G54TrD1199nFxqxwu0ezde6T+Zrw361ZGWuz8q67Vt4DI+EBKXAo
LhkCVfl0co6kwH4WQ3Kf4V2zwj0z3k51/olCvMV9lr5UFu90SbmEc+nG5iC0DHu8ykzdeNHyvvxk
tDn2zUE6rGMrCjYzubtDBCwcyPoiVx7usTJzx9Sdg93zrLWLVLm9D3gJTdi/E1D1Cjj0NCpfeKcd
T7hm4hSvPONLzOM7njHMDvGTn3TvJVIO81g2BcBYNiAQ9vMoH1905UdPCt0+aHCodzwCZrGs77Gu
99FuT457C9WHImBdKYd7Bvv35Fc9e5G2G7DAb5QXvmuWKx+LowyffINcZzRdOHNEl1an6CTmYfiw
fSnKFrE7PhCVM1z6EdkzRWTuLWJRkeUyR8EY5VZWpxrzzTZ5hoWrFrzFLe4fSFc47qTK3R9fLnz+
leN/YAH1qAyAHsc4BaNt40A7OionoFCJAUHUrYcivimRZjgqU8BS6QKgvShi0i+1yh1ozQZsrNa3
tcokwGz7CuYIRBtjXF3lFoS5eGtVkkFKpEFAtEFjS4yO3PqTrlIPGt05hii9C+IQRifAmIGABDS8
Z0SblxluV05sE8+HmHiQKi+StFUbt41WpS2kKnchV3boklHr0hl67L0SixLQpTUdqcwGnFO52VSO
Q5vNV37rvtqltpcaSQ9dA6CnA1KaEHWDQitdGEsH1nJS0CUxvje5wjBDrhy5zvc2fGalQE1dIZuV
ZuxTrziVsJw9TGcI21kqyBP7wQCADPCzUAjopGDQBCq0V3go7iyPnQJGZ4WORjCkgYJJk37cZQov
rSUZRvPEPA/EWcC9Y3zuvXM9Dlibni3gwwRIiNEiOVK4AZe9x/wSkCgGKEqJ7UTWdyoUaTSDHOE9
e9QR9puKRUqBkjzgpJga1g/l1lHUkgO+NIAxlZ12H4E16Xlx0YE50bTfJ7o8a+BPORiUkyC9Smd8
/ACkmI6dOkVMlcl4neIdOwZEhXQOwXPDjgCHvQFqBXy9q2R4IS0YrBorlxIoawDO0hWl1c31KpDt
06D4rcaaNxFAFzHodG1AvGpQLzsqD3BstCCIT54UDcaZ52yBh0niuXJwsUZxY540b5uieSS56sC0
4tQBmIVyusn1lCEYD32Shhts1h8lSBpJZbvMiTxwwnzrKGotctuTUBwbh89rC7CNIc91pkg3qRNC
CvrW+/oTxomgFXqarnzwONwFjl2NtfasyLl8zp46UDq3I6ibASNbPu7+wHYidV5m4LtBI0YZGC8F
ysvrbtcoSK8htSQC25ub4Cn6APncD6gPRgT3yQ/Uz1PU36T4PyKg5jWzzIMPGmj5yX5UrKAGNAiA
c7aACANFE8aFPA2KL4wUaKiIQ61OL+EdtlXhX9aKSYQu2GSKUoxs4yEyuuMIvigAFQ2FM6pLKDz7
U0nzvWjkWjDtNKT2OAJCIii+1JMRn1yldgeVNBUzGSl6EuP5VaV4ytogZEoRlpWH2AfkcvIzTPCB
MBNgTKwLhxXD5geUjxcVuGYItok7+jVO0Zi1WXdQF7goz5/i1L2lfSuPuSI/dRDQMstPmmJCA4Lz
LCBRo3S2HCQXlqJHsW+01oMiSpMRSMWUb4liTV1FnU7gp4biUA1ijjY6aKpb0S3lpiiXpuJWHanv
GkDWBqC1AmydAFwDQFdspIncUgJBVE58ZoJu0se2Cvv9aF0luBTGMLNm7OBKnY1b2yqYFcu7SOG1
+CbtNHjbdvb2NfztnBqAlj5fjXGGo8nRQ0/XfWfeJgrd1Y28WnlYIyx6Y7guhXNqPkhfAGeoX8bD
0YP9wQIHdIbNHCfMTIHCYYW+q5rxrvN6ns75WEVM5RzVmJ6mckdy29aVuX/lqcZ1plrYsxZVC1O1
tXGLGVFcZJ96Ot6Wg28xOww5N+hOqRNTfLsk0WDtLqA7uxpV27zo/f4ixtGDpJnpPa+RKPAULxJS
7JdCNd4dvAfXNm5IJMqa5PzSnndDTG2MsKFjl8UOarxMHgejpYNfGe1TbLiED2A2rGHXP9jXzZDP
nBNnjE6H1AI66DPLQG89k+JqaMdB1BcID66IRtxYY7wm9fohq4IbWUEOVSajRvLtzdTr1jgoPQUg
60tXDuvaAC7ok3HbWQRoiLb91GP4ZSTeM6T7qR8mNpmIBIF+04LSR6K5K3UiOD03fGVlfdBFvQuG
8Kzb4xud/UM28zX5YbTmRgJa0cRTOdsHN8pOdIXF0nEz2t7JRiuzi75ji6YH6a2++sQSF5YUN+gT
UX5k8x6k5WiP0c6o6dgnNIT9YWEXesIhIJFoHMS1P2S3LXxMX0zTKsvzu5xO8zLTkgNivb2uaydO
cEtKIRDuat8GPgcGOjludZBlS3KFOKQ4DmHAQqK9t0m88rNKjEMldD0GVAqTXeI0G66JMMRdoH3L
Qv+o5TQYuOlGIJrOTz/j7ysXDQ2NQo9uahVMZWKCxixzITJnF476bZNoFfpcYh/B8EmQwr2WaIWA
lDg/wDul85tNGxu7rDOfes8CUjHGDTGAS+EiYAi4H6OcxI4pTZ4Q7i6lYQMhw/T7CWIOxjF7rYwf
fD/Y0hu+0nszXCStcTcNxkbE5WNhOPpKZIxLtT76EtRFD9g2dOs2xDnO1i8DKV7Q7jrrKC7XVuAi
DI72fqT7GykDzFtmYqHty7Y0+MQMh46Oyc0ii8FeDp6LbdlUGutgcrxzYRQoE1F24um7Clv9OrW0
Y9qO81KTYtM0xGcGRH4tavpfu3Bynu0hnrBfq2wsZMbjiAf3SkPAO3KgLDXn2TTpk5QRbmE95Yvu
dJuk6dNl3vCp8avb+WrpqTy56EmE3ckaia5dJqcSH18C5WBizPpA15EhjdOgva0zxqdjQ4lY5SuL
/2IgtWJ+dSujsUSPwxDaNbHMbbvjXKtd27aeRoMHLdY9uapHxLzVZF0aSXSZDNiNxhYUczg3xzKg
LRiN4tGUqbwY6uDab9JnDFesnXrcHeRsuDiwmyd1L569sL3NS+vaGMbo6AuCGY1yL0v9Dh9OFFO2
TrxXt5WYIutZcqwkUieX8ZO0s3eyWVA/CXONyuUuaYuLqCVrrXeoM4dx3Zjt02RUNzhs4sFRupex
IS8zNyYBzpoO+Rg/VKn/bI20AFmHD7ZgxtBJp9iYrfUMq7T3GwJ3Yj3KtzkuZgetMjYFIP2qzMkp
YU5lYtJbsjtKK9PF7WjEJscI0qlQlKaTZcbLRDja2jSiAPO87058V1+hi++JW45i33U51OQU7xKC
2hmQMj6l0/HjAcqMdJ2eZx6dSZ5c5PmpIc7Gt27/+UV+1PN/exHHsND5CYOj5I8vkgRjLaCsorM+
obA46RpSauuuHe7++WU4if79s7iOZVuKTtA/sILvRrQByAOnAJ3C3XwfintNXPz27yf6ycBxnBAm
w/75u2poeBS4P6bnfOBG23kBdpx/nr5/cS1+8f5dxgJ8Q3xRaEB/6jiBFJBtbFfZ2ePcYV/Z/vGf
f/9PlM/Xa/3d9/PTtbachHEnS+mZrD8Ne0NjU7srK1qMbzgy//ZLuRy7dcuzkBBht/PjFcegUp9p
NCVnPd6R4NfqizJjcLxkG9bKr6Orz+P/k2/FL7429ba/o4nUx/rhsqhb/LvLjlQxw5YmTc+lWDK8
szl3tZhMr6d+8/sf6vvr/9OHyt3YLzrv6wuR/5EzLgg37CNqKy7/l3vtF88ldByGQnjVe8I0aXN+
/6EE1uMFGy86RcKt09d+XNvB53/+OL+63b57iZ9vt7mxqZVsPT/n3mscPFva/+F2Rm2G+4BvEKb2
0bv57rogorRbC5utc8wKKPAJn/4Pixd+B7rDjI3HBn/aH78kQnio7x2jOM/u6+BedniT6+3/snb9
4qHhoWTqBa1mK2Dqx9fww4xZPFG255rCb1p6qMPsa0zdinJFstg/X5FfvBYqE4Y2aPVcg/7Tj6+F
ixhNNgxfETtRk6yjAlJ/7VaLghrr5uOl/tX2G9zmfy66q1cyJlDyc2i9RNL/3/91iHLZ/L3fqX7o
W7/T8P/glrUpXg3H/NtYQrDuO/QZv/Yu/5xKOMRN8A+Ke8dzPkYPf04lPjqeKjSQR8BFhflb815X
Pfd/LXbIkHz0mp6n++jlKH+tn24RIxAtnItrX4YzsuB70ydfiRDNKTNWYaghZ/Yw+otOjZdwNsAp
A2PDIb3WNZZGcrNJeorGNlq2rh4Q5enh37TPinpeTW4vVF5XwwyhaYILbNsJjQU0nJPrIkseyyG7
cYzwZRxMQB8hLieHU6OV2zhruCMnuir8VLh46Jl6blJ44Vwx6RrGs90WSwucc01KwkE0t6ERPDGi
LMNDocdkJ6chaeQPHEQbtBXdvCXfkCzyFfZfo7MsENzkJ0ubnN1EQzVSnVVcl4c1eWGYqau+K761
L1J1YlsnC5ZGmW8aZOjk4sS7KtZ2ZJG1i5FGLiepmDEtvd3Zyu4jmr3miQf7VNAAHlUn2Fc94SAN
7gyaxBnOXT5N43i+NmghD33z6NBStki59k//PohfhRdsaf/5QTy+Jm+/eA75mW/PoVL9UWYxmlfL
L77j380dxB8MEHigBNIH1L/81bfxIGblakv4E7zhF34bD3p/oF2jajMIhBGkCvu/g9eQ7vnzk6jW
AJ5GT2fWojMH+XGxRsrLIKrK7XPSpwB/km7A7TgSCrfjlJpsB4zWOZBaclnh8CAx9t9bNdYhdqfZ
uySgKZpNJoj1oCMMjiF0NmNH2pil2D8BBOgpGnBQXGAi8wtNkYIfhtdjSiRkJtHftsnGnz1siHta
DMwoVsEHdOggecrH4QBZudE8TkhMI7ubtm9Qwo7OSzr6+aKJQ39NGtQ21YvdjOXFYEqEfuSi6A4m
5I0JIpRn9a6djUu/8d/coLuOhHcGFNijuLyNPCwViuZJk155yANAvdDf16EV7Q1/eEpbufS0ECNA
+55EvHFBkQOvk4gSUYJ8ZkPfC69cx3rwLPz0tQsFR/e+Iqyv7YdtE0a8ZwswQ+B1UtelC6riHyoV
OZHUJgal6WUFHUz0hDxVmfVah+0ZvPS95YsmR75YzgWwwxSUF5mbuFj8tTuS1ugJ0YkgqXXhk2Wx
TpRJYUm/SbgTIXPak1eH19NgMddp430nKSUqt5lZBVgGPVBI5i3OMh6KHUKQ54ShLHKHYmmLet7Q
mZuXsgw/N8AQS07t9io3pq2jRRcpku8tIRqXHEzN1dCm4Sqq64cyCK21qN87Z9J3TuL4a7TM6MMZ
51AYvGsjTRHqXnCoDjojwpEDad6dV3vaUfPTXWLX16lsdn5fE0fSA6y0pbu0JfjIqMvpZaKV5Unr
i4tIZE0YoL/E7eLZqssLW1q0JObrClMLNM7PA0dsuNrw3c2saVMMib8um5jD7bRLwMEWtWU0DK6H
NwjRgo6vjVy6lJvY7D5PYY18xRYbt0+YVxj8fVyXADnkiX6iaW0ekQEh386U9WmL1VO6GpQhKp/f
2WFvjUtqYEc4pvZY/yIr9FzaGPTcuFKmi4FLRUzRAm6FGxSX1gWZZSsyaqMNeVzRhC6RHiHbSLib
ev088zBcT17sbgnHpImJVobeqXkhRCxAZNEdVvzMHJXaGft4sXBHvaAb1+M2a1ciWSQGKI8lonGP
mw0e+yCnF543zoz57WFNZD39qnCQC73vNwO59h6TiaonW5VF6iQ62gIuilrMjOWqSePLyiFZzjQe
UVNNt7WhJc+5Qd6PWWWIY+htG0Fdrr2WG7J2REI6OJ0Wi0HjmNMUEWijFh5uX9vM9LWVm+uoNIeu
v8wsaz3Kwl/QuzpBIqHixYenQ9G/6MgowN6p+VR32JcLLDCRa+5zpxNgct6FRoDWhSFJBiiUQJXw
9vrFRMawsHMMPzpJgKylNso8dNNVRGYTHcQ0W87w1p8rw3yKsywgmoX/d6gHb5vPI6tSktrbIsNL
vdFiHYlAVSwMU13fACPz2Qrwywu3JNddRjxRy2HuLmJgonDgU8P4bgxZHIxJbKMsaNeFz0wwnmuU
Rb63HEMXDIRWqmjnlHw3IovicNpkeUbgXASaFDO5Kjz7gFMh/bqS/FI7edZ7ED2tucU3vl+QyIWB
11DTjU1OTVfLzUTSFNOWehuU5c7pmncpAjII2DxWpZbywOKfY568MbvLmjg9+mGP237UwDJE/jor
6NnLSt+hBHuk9NkMVnnoAu9tLEwGfkV20SY0iqQxbjl/fz2B/Fuqq2n9f64QbguUxhw5v5bv+y//
/V9fNQ3qp36oESjWqYhtzCqUGOhPbYL4w2aH8ByTKhlKl0LgW43gQQaYFsYXrqFC29Qv/KtG0F0B
lWsxZsOi5PfEmZanDod/VevwB7rlu1QqaJLwxnDNn6p1Jk5pmTCIPpuCgffGJqZwCRfcfa7jbt1b
ybjQsyDZaQGBTbHhPwQtz35QA7JylvjUZumtmw0+RbW56lqaKEEZfeo0fd/01REfW7msbfQ0OCOt
AgersUQYL1iyyS2pF80hq6o9i9RSzNFZoEKkw35qkokM68ZfdoRFLPsJWs9tvF0eEcUzsNgImMTB
QYCnzVeJ0xGtHA03pmiffYTPSzvJrxEOGRx+tTstJCYs6ONmAS28kYFDrOJTGk0vg1S+QXZ809S0
4Gss2IzMPmQ6ozOGxNupKMyTXlrnMJqthW5Yh9kuAQu6g9cEX0p/OESm82JOTnJtjSTsyjw4Dfg4
LUAUnpFDrxtkW6/gBgrm9VZzUz/guf5FunHIWiCqJa2g+9HVvnT0N5YFmGmSeKcplci0+AyBnpyi
uXxt4qLZ9AFJ3LgmZxjeVPY2J5g6GBEs1F52P5XBuemGF4xxSNxy2c68attamKz5eIQsyAPdeI3c
VgEVoMm6bQ/zrhsMHUdS/yF2SPYebBx0yLlsPQyCvfg6z3Rr2efj0Wvm49B4+ppA7qcotMWyN8mU
q/zkoWrYC5OkfbJnptVORWpzk70XXn2i3JTHMIFwCK1wlTNWGJquXSLl3TWBD0ZRyTszrdFcEd7k
ueTgDE5XrhFUfcmleyuDadupRYpsrotJLVsE/r6NrGMz65nDusaf7XK10Fm9hwOGWvzCuL3KP5ZD
1kWsMdQi6TNkctSyGaoF1GUlzYxqF7OyOj1pOa1abPkfT0ZXrcsCuEtXC3LPymywQses1NZkbJkk
g4uzhjdqMW+LwlrlrO+dWugrVnxLLf1zgH2s2gwstS0k7A/lx0ahtgyTvcNkD0nQ+KY+8oKE3cVK
hotYbTdhjeCW/UdnH2qZ5ZLnzXjycyeL+jHMW8GI3s8IYSly98Ys2WzR9tWZdq2XfnXTTDJLt8YY
bVqhQ+5xrO3M4D2RDOFsX1+GBbMSvXIv3Hx8aJz6U5tQppUFvJtkChYm10SL7z0mn0u0S6tydJex
cAlETvV649ntpSFSiw9XAk8wnBRjjNRltNYkbw+gte68pKTPlmWUrVoCZ4UzoUsxIQPHFy9gYOtP
91xoioQYC8tIO+ZVuA0TbZ9TgtHjxfAPnQC5x3E2MXfLmeV4pA1Z84VgMGdU9Sq00eyZ2Fv2GaWH
iOKjGxHa0yZk1I7udvAZ7ZYZF+ShVTqosVMjUuq0bh9pAUR97q6mrMFqzn/KcOuE4AmPvVIuoyL2
N2PmdIs5waq/0i9F639uBmhAZAXT6JbrxPJXopxOgOX7oSZZNTP1+mAOA9fWxq8OE5+m/oy84Qx/
smpi606PJL50E6kjiUuhYudrK+Ep1MllqUbDVyjprd0FbxU59gu/z/atL71l4/Y7XHrGpVbZO0tk
V+ir+0NIYRZHTKS9qF+GVnca3PwwMncEyEypFL1n5oCLFl9+4B7Gp/qWECNCZvpH3Sz3AbFpWCK6
6yROWf/GHHMip7gRnd8uo7lGHIKNqIx3KQtgGfWXgTPf4duzqMz2OjC7C+xLyf1h5Db602qeiRd3
6rVAxlMUTU9eQz6zCouNb7cHPZ83HuMh5NgAJ6X+KQ0aEpPN7kVEWJYPpi32hiuvDDwNSimvjdk7
+t7UL2fG7LjLDBe6k4BoIzFJShmvMy3y90La9GPC8QrLnk2STlem770LkpbzrEQZ0a4bThgbeib5
cgConNryqnW9+zHqwmVm2yRVZTbOirGZPiUimFay7N/jpjswiX1Iu3wft8Ux9FFWYMh4Q6Dhyozq
d1tO664zystwHDEbne8Tw5wXWNw/sAKvm9y+rrWgQO7iP2tO/ThW42HIQvTxXeZC9XjL1ggPJkPp
cFQGSPJApcwybk37oEKRrrK4UPqQLpU89Kk2AP5oubHR5nZYegwJUx0E1MYNhxbWDBoRfrF60a2m
vhhXTW28+vN8NupMrCkXkMabBsY0CPEDUb27uDKTuZWc2shluZzGHII1eixi86rIzBsrwU2+Lyym
AM1n2zPB+nySB6dz44z72WT9ql3so3M7vx8n7aEci7s0wqR1yMUKY1gopmk4I62dl9bs3c7U/sRE
xN113cYRUgY33llKcuKQewr+bzDsPHxXT/1icGL+OJejmUg/ktYKQkwElJyqqJG+HzI0FV6/ky9I
C7/NFk/2pr+qlgQ0Lv3Xuxu46YtoXSzbXXS0t8Mq3BWbkPPjLj6F24/38W+Ba/1jL/o2eqt/GX78
XTMa8a2OrtUge8Lmkf4pqwIo1aTZauDvzRT3rwLX/8NFAEjJ+dGgopX9V4FLfg9NDjrVNnXuR8X8
G1S/qT7QdwUudxAyXlV/MxrRGVL9bYYkwiw0i0g/0yajI5vNaDSMl0J+Ic5rJsuPA25+RCGE2Iyw
syNnNXoKpnt2yP3qqhKZqrxJyQNDHbrUVUBYk4RPeW1vK8hLkXtsCpxLG/eZPiEh3GSMzWSNtTaK
fMn8amHK7r4c8ztScYia8AFeKsQ9KyQCzwHpZbTqD/bE6keq2Yx20yDlzLS0apmRexayk/gqCC3B
cqzpcHyOyUhjz9gNKjTNStqrkRQ17PPvQcaPfkyGhQPJmJC3pg35Y1V3DwlZEAuLRLba1zYzCW34
rLqcyctt6SP0GXxUCBER7yLAV8ol4a2NKCa1ySNxz0IKRgpt03uLiVS4ajDpMiFj22P9SqRhgOmY
DgsTD9oO/SCsalQHu06btoU17s2P5DnnZii7G+rX+j4lmy5VIXUOZh64Tj3qFN2eirEr9fGExMde
DNLV1jZZdy1Q1HIk/c6ymr3jqx2KXLzJ+NKQkidJy5s8TGQnFaA3e5iHqEi9lPhg9A5vwoVD9W3j
/sPBbNDZojQr2LQqmm8aCOnTx2kXk9rn0S4oSfHrGr4zqYL9hq8hf0hRSfxrR9b1dUDC0ra1I3s8
tIVq0Vil3u4Lj2Z767JJGmZL7H1V6LVLcJFFPdg0lBSvaV8NbDe22a6cREcWNhIpi3DZLOoV2C2m
aeSqou72iRyoIFML8TkP6wpXZNpwuGMTOGAW/Nugr4a5+ewEHcGuSfVOmBZzkYBwoRzXS9eYeppy
yY07l9PBFe6lFppsSMikaV07uLWGT+loPefeSHk09qhY8T8m7C9aWZX9JS6bd3Ma3+a2nha9mz5I
x+JWEALPt5HQi8Y81LkWEb3UirVl91cjeXcr4Sc7K6yfvcRuNyROpEx+veepVfbeloOrmzt84Qik
ImGGkTun9bGDaLylHvvylErtUj6n/SqXmJmN8RcLizs7434hBRpW/ODk+TYuyutexCFxh+N9aeGg
7RRym4YBfhkcJKTuPAbkwWxt/sQzhkc5V9f4qC8nS2s4tzxD3eERN2kFBsruHK34VRxk3WSlIc0G
Xk0XmhZC0NUjlcDgkM0RVjd4K8l9EobquHE504qk2fXu+Ba5DlZf65tqSurP/+4rX0crbOT/uXFy
fG2at1+xV/zUt8YJQ04VcOQI82MX+CEXzvhDqD9G/u3QPmFe+a1xQtIAsxhEQhiKMQb92I2+NU7Y
chCd8xuZsDAKJVr2N/YVlZn0075iG7wx22aUg9iGuLkfK5O+80eN8eVwnhgauuuwD1gGOrUiyCki
NNRUx7pEivUU91SSRmcQeAYyFrX7co70xdg7pGs0ODYjORzNdl4nQ5kXuHfmwrE/j7i+YNqCX9S8
biX5H8Qi1/gvGdJ/93V08LdT02CxT+FnBatgmmfMNstC3cuwr+BNlSPNGVl5MuAfMBeGhYltJ0dj
nZmyntd0nsh7C7z/Ye9Md+s2ui59K98NMCjOJNBooA/PPOholqU/hGRJnOfiePX90H4dy05id4D+
+SJAYkM5OhNZtWvvtZ71xQeZqJtWJI6zQbJtmHepyoFybdOfxSJGpza3DLktlW7cDvrYxu+97gzr
IMZNugqCGOYvxhxBoMkQ7EmYTV8iouKWLrnpymIsx26lpIjkOozpCENZsEWmgGzHvvvSmRhapynT
N5KtFa1rFRgbcwzfrV4h6Tt33hkRGciHg2xll/ysVOJZytjWG4Je+0MYlM3BmbvRQcQuBxgnIPtT
YZZq2wntbZnUywy6yqIWClLLmbejjpHYwnpkgOP3+bPqzDbRqQj2Za2kl8YIFI7cJnfjlPlbYk/m
Rk91sojCztiANEDW2uQW8y6CoQ2zTS8JaEFV6BoQkjoNtXHVrxylYPTl6G8hLpctw2Iui47w3wwq
xaouAnJSLeWlJBJ+a00pUlu3cDZhXb/bve9vSo3Zkp1xvF72dTDynjR7UxRZs3dNES81JYyJIcfc
ERRWARKr86I2FksqZ3rldj9eoQWlGHaLbNW0oQkVNUPVWxvOom/Zm/Kp5mU6+qc05ygdVHGwqGuD
tl0PXoDcerTaZUedAuCb3HiruoLIDwYn6OWVHTHKmVAZkiYxQsvHwJquJ+GiPuxwfTTGUK4G1W4X
TQZpwR/yZKvSAwBlEWfb/y6bX5fNX/abj0XzP/8nD97St+avTWf1Q9NZxbdKycv8VkMYACj5e9MZ
IoALJ4CqmAwXIlK+r5268QfIR3CRdJWphefp859NZ+2LpZVl1dQYI5v/jlQzn9m+t5zn8bYjONgJ
guVc1nDx05kudujn9rkbXxBXO5nkl4Ubo3r4sJ/83cHR4Y385VkgeZFRw9mDcwafwceTY4XcHHeq
GV/IIo7SZeEI1HBuPTqEw2nJKtbJayoYCh7tgFDstgxJspvQPDO3vaZBeZVGzkYzw+jYC8HQWVVM
T3VaAh7USHgiCHe9lu3aLiSKCcJxqx7F1F81o3aqpoLMZv2MG3cvYrrZWUfhGYvKXdvz8uK35sjE
231VB6ItrCTjh5I+O3mL71SZtElzi4RNQIEuWW88nk6xi8uF6e6+V6Zs4/eDvZRKQxqpi957aCd2
jUTm8Mk0497HKLmxU1N/0jIFlDCA800kktBahRT96aoYsVcVhUpagJOQ/xm4pR+T1ZRLKGO6cwEN
ZmRG1LJsDZYThgupl7pzP2kVXrJKSze1MlnmRi16khXg5LLpViBPMjn6CzGYytmpNOXE76df8+Uk
gVK+UPKNw5hqSb++ZhPAolzbDhTl1Ej2LdZ855Lna/Qnun52c9DGoivYRvVrgCbmcBmqwG6qYHQP
bm3ZeyJJgkdocsYD0VZ0RdMRHJbMW2PnAGSocffNjW6HHdnyRN+4hJqDibHw+66UVszhWgOR6XSa
vSoIxl2nmR2Q0NZeST5zoqmn5rlBoTCM+JfGAfOYW0U7BezxCo0yQqK066+njmGhQAHnFqp7Da4A
gnVM3LkzuiAuygyMRGJgTFDxYkcP9Fm7I19dBycnwqckUSA1mLrxPw/R3pracAV6GDuMTFUvd33j
ogk7rYPg22yQkG97g35mOGjNFeBElR0mO+EKOHV1k6+zOroyCnPnhG3MjCXdEmyULANdXBJvdiNV
u7sjH8N5J5QHUUWytPrBei+ilpq7WSZ+pd4KBbiSJdeKViQkrKOgdxh1DvRdG6t8bRr5lkd4dOPx
Hr0SzM1u7w7ZmgWEYnzaGIM4jU7HoUBusbyjn+doU3cvwmzRPijrtFfZfxhYtONn8kzZtz77olWX
vZUSgmdDcE3M7tG0opd0wqRkNUmzZ+wdAMGejlqm0RLUThbBjH2bPJZ8fY0Espo79srvLKBQ9EHF
9Dj4zSrIfG1RiYqjbADxocnFLjZJYVUhLpu2fcl7vDZbsHVDNAWIHPzGMzoRnUJkx2A0tCuZwofs
K3kItIGLWaqbtBqwyPnsjU42HlxuIkHgoubWy8Fxjk6pH42heKCT5yWmfdNqwVVelUd4IoxL3COm
mavQRWKhMeTgsE+1BOV55OgcA3X22hq0dFCLi0RJnopEfQJvvSeC74CJYh+36tXUq8tUIxEoTU+m
EXtVWo0HHHXUYhQJTjh+rhJ7285B9zVdY7qXWAP7vVNM466a8nwvneI1GyEiKWGeEm+d5ktz0JNN
5ZYbH8X/9TQq1frXK+/fcBRVh3Hfl7wvGkP898eVNxzVrBmtNLooqkRbdamLQrQbk2WWdelRZgCU
7M5fB0WYUTVNb2pZNVdVlYhbZ3LSRTEM120dH8XgLxPXfhCD3FSh9Y43L4CTTdpQEBOmjixlXUxc
06kfeYWPpLqnIIULDPXFduS2K4qX2p5aL4qbew2246pTiVwhOL2Ale31ldcMO7WkFSL9fKPG6FeN
7jLVik2T2a+YKW8Iv9q3fnKYmnRftQTilgVjMc3dyH4sls0YbbUhNL2mww8Lem0dGvEGsbK9bERz
bYyt6pWhtRehy30Nu4AgLJVAnHq4I63PIMCSgYw2Ytck586rLAuaY5ScunK6CJt4l/TmxsThy0SG
uPUvPHennn1twRo8yMoMymMaEEdp5xD4cY2mbbZlXwPRXhYT+1qzLuL6zBDgmogTtBvQjpcWJ3na
1RR7dX2JkatbZhNKq7qO7wj/wx88RM+usA9Rx8U0cIE6KIeSpHpNKrFRywzWjUqvCauVbnmci7c9
65DeFK+Fax9FJWhEuMqrr1rTotSqhUXKPS7CTMWiNK9l8hjZ1idNpKDfaVo4aE7GTFM9OjEJ7J/g
rE+mimQdsxIRAc5Wy+L2nlRKpq1RVZ9SKtndry/Vn1uDs/4fUh5T71nCzhz8xwsVNUcP6yeLLvx2
bhHsa61d/PoZKJk+FCH8SsgCGEocCCKz+nZmi3wsQnQLbKhDaMNFSltEsc5RG22j8pr0CK6E1Ius
au3Gq18/JwfQ3zzr/L4/yNrbMpGloSvKSYz5DcRTVH78gV3xE6e7cQ7ZjD3pmA+Wr+8w4SU0hjCD
pnkPn09D0p3X06dCsY+RNIQHpI3pZa++OCG+8kzEdwQ/9ssgod2UGo+Wnwx7NUUxwNWUF6t2svOV
UyrVUsUe6Nn5OO7awdZfijyWayIHdAys0eeUa3VVCStcsgKPS4lRw+NIfdMacwqrktwh+dF2WUCk
3ihfGcBu2ZRu4fCtraZvFpoZb3URKij0qFBw/TG0n1rhVZmF+KY3OUJFw7UW5jSeGKNVemAtTJf8
q6Z7r5oeN1MZ7WpD2aKnux2m+MEQyd6UBUqzOW078nW4RDLKuYiJEJhipn/VMh99+nGpIGjLT1hl
xUMnoB5EcXZywmGT1/2q8yeuYLFKZMDAnrN1ETPDLafYWdapf8L7TsaBTXIBIxUnGG5CUM2LAalC
K4kG0HUpvMmWOOkjMLBt8WzNmAKRXVXAWcAK0WdWQdJ1RDyY2KlRZQFrVu/yEZq1PxCUULcXJZaX
ZVyaO851b04lWkyEpPGZxiYojaONS/s3l9vvrvG5EP9wtfUGJYZG8PspPuaXwYWyJof0vt9MO0Jr
jxisQ+8zrUDUXaf8qf/dfOhHieu3G2yeMGBKALUzv7gPTw6dxckTx1BO5dJc5EfNK9c4BNWD8mCv
xUrcnRXv+NCtkIB0z/wrvRiPYrGP1v7FPNf9zav58WDz9cXoDBkwRlkco8yf3FGj6BEHqnF4EYrL
Uk8XkXiou69H33+0Ev24Zv31OWY9z4c3PNUZSRBhGrK5vgX11h2vfv11/u17AH6CT4A+Gi2uH39/
NpCcK6KKzVu5rGi11iY159cV6r/TNI1v65+7nsBs/obkNz/mz56n/QdOKhu0q2Z8Idl8OLe7fzAD
pXPJ4dsSX9qR38ViNt8TgvLv/L9vPc8Z8sfl6IKocrH6/rtzO9J1vvyPJ3dqOQelmqrhLmEo+7P7
p5lYq1uztS4gcGCnp31bIj90wspYKgN4MtJ8/Za9XkHSky4d6dvFaRRZ067aCEt0KE2Rnpw2EjAP
tIDnCLyGxp+xQlRhkBIAtEUjv2XqTTIGehm3wUPfZgo+JhGQF4rGSXHLXWPU5Pi5nWkNqHFsogbx
DAZr2yRhr4V1q4mWOsfQtzK3SaNpOmKWOqqTOkJx2QZKs/ZbcRvn2qnOLQ7E4Ev8UVznY1QvVBU+
AiFDh7LIDnnlH7Hq3o/sFpzCC39RltmmLXdpFvjIKGiNRlYceRBQ6TsOGKIjBx1w62NO7obpIbPd
S1UwWZwTjJW2YTzCSGHBzVcu+8zZk/bwqg1yWEZt90kOpk76TwqMW5hLcvkuUVuM697C42u1xA74
XSVxhU/DMpFWumRvh1dHFxUlrrbitDUuOTNUGLO7V8UYDqkSBRwxfIigvvo6wNPnlN6s6UNsI5MY
SXDYx9jRSm9We9OSgP5V9cemTVqvizqwG4V+oxhMPexWW/uJj68+yygd/XJnoPFaDEZxEWvFNS1P
z7fLQ8SWFpI3h+wMA5oNs65NX4yRwKc67JbIlBZdmmCmIV4bivbe8LNVXTrWYnaULjQ5xIs6LZK1
M9rKWtHliTx1FQXIfBLgZKwGwUObU7eQMRBt9BFzI7HeTD8pig20LWol911LHlEl6oegQME7JeZh
HNUbGQwrKIEdJ1qIYHl8HRDWFJn6MrGjmWM6RSvfHFMmV+iR6sQPPTG4l8Is7JVT6W9FqjZbtcT8
Y+bFhanCFg+JZMz15M42rfssrpAaVmclLEtiFeipGqkLRCSN13Ga3feE+Mw9n1bojwIu09KOzU3X
pzdDYu7yoAJH4YOoCR0OEmMTd1zoWnjglIPq353oqff9Q45ocxlr8mHw+3vVaEj9AudOD3+Th+45
bkwiJ52FYcqXAU4r3aO+J7g3ATiSqLS9IOvosr2BbJAA21Gx6I/BLmiMYFtJZl4WMapO8AQUMeIA
gr3DJWUIRT7gBEO0d10kLGDztG4KK9wrSrEXtvucTzA0RFBpnlaoNxS/sGmM27IRG0WHSQt9YTFE
+s3sgF46JB4jIGPoFxonSEOKB05uPUTpAw4K7Obq+JwF07DFsLBtOyJ0ldBxvZyAMcAFabGWMieC
C5XlOLeT0mFyDq4YHeI5BE75qZ5pmusM+/7a11Ls6EhmF5YCS6YZz6pqvNVEB2JPrC5K274rkOzv
kdKQuKwOb0nkXsPCshcWjH+YtUw8m2l87zuQ8F3HYdkPNMOjhekg8Z67ATYVsp+2NxS9XDo0OJHl
E8JUlNEIWqAwPaMIt4jwnq1Q5oD783xFNNmpNauTqhhv4Kx1OLxMNOoETrAp7TWb7XvdGwfAz1uk
ro+5HWgrK6x2tk5/qhzUg0CStXYGpVtqrXVtDJqxCxiILMBu0uTQ4pNK1wCE5Aagy4GG61VcA/RP
410oqxs/rN7lgOU47+vjWPhnSylvS4fkGn0cq4UIA4ueGuteHRXcuSmRA0Xbb+KkeMgL9HB273LP
NgSN+SjVezooXtT1924jW2YEzFS6vOSXR8njoEud23GAH9qKecJQeO6g0Usawwetf+trAtwxDkWr
fDQOoZU9DiOfqOq2N2kvNXo5xf0X0bzeKPeaYb6FgTQXY2KLBYbznWiKz65mPE21eO9ULoYyt25L
CC4Lyk99aaYSUh98o3WV2ZddnEBJ8FUA/L1CW7W7MJXkmrdKCyk8T5gU1qYxV+Kdoi2m1D7a9OaX
oSN2AF0jdMfOsDN680Yr/U+hzfG9TqO3jEBQUseYZ6v9lM/RqHd6zlHbsodpMR8jQcZ+KQ7+WyWp
FPG/qJKeX9/+TnM0P+rPOsn9gzJ7Njtrpjub3L7XSciRTPAKBmoxPOmaxY++1Uk2miPInNS1+NVn
Duf3+Yb1hz0b7hweoCM0+3fGO8P6UVSP5sgxHJt4eHT6hK8684v4WKQT9Dg2mlSDs+9mNP3ZN2VD
6EQ61qhN04cyQZU5oIqYonE/50Ft8gxhRNFuhaq+GUrHLu6anB97skPs9DAQILKY3JgQ9I4ZsqJc
zada0ndgADlZei9cqg4/ct0VSonPaku4jnTaC9kGXqd2j1aavavcEyZKlUUUhE+Wmy4VWqz3NDzE
NqfHFWS979k+6Uu87GLdttT/EQVXoGqPbWrnyypiftzoBlNJxTIIgfLfu755AwBqwboV1sopYuJF
6uimSMKrIcifJ9HfK2OF3tUKOq8w6XsnBOeZlmIu21mFUboh661dvDhm/Dm0a4ASLN11z1tsa0IK
m1K9VFK2vjQ4FeV0iIsIu2ttCuYK2iU5jZci14HdR6mk6JGDl9KD2VhGiZS76T/7TYzAQ22jRRI6
DCpRFMPCi2+7brzExhsudCEr3hL3PxHuN03m06BUr9g+a7ZuI1sq7nQIU3cfyoFqMBQshmGzMGS3
C9Qypo+N6htxGMt/a1KyIHCZI++muyYpEBYXJkWvtCGmlFLfQ3CN124yvDJEH/dBF6qeyAVWrCx2
NnrvKKsy0I9Wpe4qwylxAvn+1ajkpKVX0l2PAT0HN83cBUw+y8vbPLwqLGVTzOHfkU2rr3oaAZlu
mkCfNQMhy25gR3RLjbWNIRj0KrN7K0cDFVQknts5qIMg+yxBB3jqDJaHDp2t0pwWwpD5T+xzOyuo
y1OUlOOSXzouwVqv44gsRiTKq8hX5arLrWavadU17XFE9jg3l/FgckG2WL8FwL5trVFUgpD/3NZC
X5RNSyglYqFFnOSzu6Owt1GsUfKMzglvn7t0BuutLjvYaSRW5T2GE4Iz4Z8Z8bAMuihdlwHTO1Wx
bvJQf+pscDQRneZF49jpVpIO5jVBf6OMfrPz6Y3bBpjAPsNFjj0Vy17bcRm7NiprvJLENhpbJTMf
3Vh7oSe8sRWUe9rQnBTOG3zOFLFGny+nsHoZXagKdm9X9jJvXOuKelQae3Vi8kgbc97Thnl30/u3
lM1uQLa/1hKnYMTETjiyJY7z3mj32WM/75a+g7AW7GBLU2a8H+Y91Zp31yFS4H+z3xbzzot+/MGZ
9+KeTZnKByvivE+r845NRQDbct7FgfTdTmzrtVUe23mfb4v8PWLj1/Rwl2vOoXNIzqEwmCgQNAqF
UAlPYq4cgEUG1KoMzbLauBaF1ZE+R6WBXv3gzLUHLfNd8aUaSXjhbrBFI39ARvFuUbZg0pmXJmNV
+Nm4L5TxWZtbYQgbTRTvkoPQ2Fn7aJJULsHgtxAapXyg4O2K9RCWRMOFSl3c6H3b3NPw75nfaGVC
SdV09Rb5uPkUJIW5l02ZBpcpaCVnJyvFePIDS/NPsYl7OXMTuWxd/0FlfrMyB1RvxO2kFPMGsuQi
6VZ9jMC557pbmSWjEa7Cx9ZotxMhS0iyoXOhDyT0Ac9cT1jEgjzeKwep9ZDjWSFRekZXZZepFdCM
JLxqlZURy1OSaqs2iN+D2r6qoX1uld4k6qwh+WBEn2/PolBXMnXp7isTFih38cbxIRLPgYCVAK9p
RIc2GU2vLMUzDg6K07wHa59dq72aelL6zbbi8Ma15p/HRGjeKJOEWiYmMRBNTbLLC47YjZ4/20UX
rnQNeo1tRccoiV80p2c1GDgJaOu8GmeEprkhK5X7MEUGYyvJrRiOOdPVLNk6+F3zaUNPeqN0zhm0
WLTuxvjd0kMStSVjB/JC7DRaqbS1FqoDmxxRI9bUrL/JJh3Qoc/qV2dZwHGoRCKKynMRaxG8ZpjO
IwgfvROql/WoQzSruo5iE41SbR/9srosGkHKSQ/CwcXoW4XahRFyVDEDZW3WdeO5dn6fWMB3supC
sfzcK9D8xU73Oe6tcNMP6aFHrs4xWx78cnowKwflSnQeTeSkmrT2pU+oYRuX5DiKXdk4T2geODgK
0pQshUSOFgN7DgbeM5lF5GO6RIZ+wwGOM7hmvFkdsaf9xGKrO/IQY01Y4NTmsDoO69qq94Z0OFxH
Iabf2t5BGWZ9xiKedJh8lOgm9bPnqrV3GtqZRI7HrlDuE52vWjhIgNpCstx060wN3mLX3Zp9sSsU
fuqXzjtY3deyUQ+Z9l8N+3/slvP841f1ZB1xPH/+q2JmftyHilKng2YjJwStYgn6yH/aNAWCdEKf
vtg3UaV/LChhnIDGpNz7kpRBmfe98UYZCZoF5Ql4obkM/RdiQ31W5fzUeDNchklUvDrqHU39qbMc
10qi2ZMWnjOBb5kcbmk+DaoInZ1Z53lwWbAK7ae2sp6s0OhpCys5Zv1+UPrHerKbewx5xY3rRibG
Lb3ti7We2/Kh0VuVtZkCjyNnjFU8Uu4R+CL8CIiOSTUtAQBqXTrkG7SBem476zZIx+c+mJ41nGBw
766txslWpCJstDSLztpITaQm1mro/GWr1HvmG/BDG4zwQd2RiirG56SqGcj0OPMZlzcMNHAxkVGc
ErHtrEkxHhbK3LYzW3dnBHW96Hp/W2acfDvzOgODukx05rP+cEEPAoZipz5XeXVT6tpT6MRgOH3o
ijSKWsyY07RxIjfzUJMwozXM69iyj53TfNIy4u6sPD1mdXFoQw7zla85S6PBRGPUASb/HldPOSXX
XVUSfT6VJ70mPmfKWQjrmbVQZ2PD2XO256d0TqSOpGTIg/SIYxgDQPlJtzilNqooyfes37CAjpjh
h5QA5nabNvFGkJCusoPRlYjZJFzPMIiN4ICyZnnASQTSmBelEqzcOeY2yvmT0Q14ddziPg+TV5aq
KwcVuVOmn9UkvLUK/KdSxsbRxyIKRuAqKim+O9Mm5iqjdRkQVRHMGJkiNa5Dy7oFg0gVa9qvWAwP
JNdel6OD2EE47Aq5bS+oxGKCsYZDHqmeFD0chyLfpJGChmHGbUv0/XAFMJI2zJbR/6/ZzVZWCeLQ
tHpPwTm6CIWzNiq7u2jnQtkeG0cuamMnEyu7RxQzLOukvZo63P2mHl7k2Aqgp3IYj8f2rh7jF78D
XmuFdbvA3bG2a+cBU/Qn2w88DWMUbVj6svPLEN01joV15U/nFL8sB4S1619ysRYXRtceUze5BBj9
FFnUZnlCY7EeIGvCCZY7gW5eWlx2qhkfC61YOtAF0NA6Dwp95YU0SeNS44GM0zpaA3+8MMvsrLv1
wXCty66hTsQrwOjbNmhbVk+GomBe1O4ymQaI1gmY6qzzODPIYR0cFBfhQ1ex/frNrRPbL5YynGqr
fdP87LaRNoY5OO9dou5EaEMMSl3aRAXfAxrK11TtucUmBKTOkMIEyK0zbx5keR9+qshBX6giO2u+
esmwb41T90VRfI9gLwLOQ1yxGQ5D2RYO2154sDOZP4SWW3MoBe4Iwzo9KGlbeuZMCveFZXl2lj2j
SE1WckyvVCDMqVJAkmNwywTZ2LrOdExzeWpV4uRa47G3smepq3s8NTCUaUNhMUh9dxcCY28IATN0
Y6uXoF/R6dMRs4wFSeb5eqTPZ2hzjo4KYsUM9y6k6EOk1vlVMyR+sx86dZa15B02TH1aurhttmrs
PLQZUWhBkamUVWg81lUq5IbjADqGvABKPxja5TAaBJdH6kXIjeXxnZvnHLQs1j6SMqhjh4epInKX
KN70EBu0ZiUfwapPlXSrYpOj3U8UNjYeP6DTZclwKxUd7TJz5RRls8DDF/vJf9s+X6kIs7fvn7fp
i+fy77ZoHvNti4a2NIv6UK7aGpvhjNL7c4smCZZBFyIBVdhfIQvfmj6QFCzIe7DJXcRI1uwV+LZH
O38gDXX5iU6IC42af2UIgOr08x49R0lohmpBe9Ro/s6T1Q+TWSgCGQ4ZbTqXZcP0HrLqonaRu5fm
eKfG1cYPnc9Gr1ZLv2xfROuzGg3wWgbj0Jh+SrdeuXO7ainM8WROJWkKknOknxLbHERni+Pv6DuX
Ig1UDyq5tqp6sUkG99Tr5rHIio0TuNs21s74zIyFg7fAqwP4TNLqbyyTbCTuzTfFypHLu+RXdUZw
si00BwpC9IVTkY9HTTEvvptMj3bC7Ama1px7AESX8I7PpitJIazzzj3qXUplPm78gWJ5NN2rNA5u
Aqi4JOQy7TApJIK0EMtRGm99EcSnaWrL51zyPKPZbSalBvhAa0qxoB4riVhjSoB0D80NBnwkpKcF
5b4VZEBqJfm6rWa7yySsvCg1126VvgSIdWbCHBtUs2mrOkq8AunVAI9tbQvUlz05fHPnPZCuRzDf
sjZSdYem9KCLNNoj5N37RFygbiIQ109o/yTo8NzeuqnUyFqPTi09AjN4F25tnJ3U2uU9B/liwnNu
Nia2edu9sBKdKOtceo30n5rAuY2Jn8d7rm+N0X/DMYJd2xhIfbWyZUOSxUIrqBoUw9gWoQ+PIsnE
LREQDZwfcwe6elgaQXnNOrQdaC16oTmb5Kem8oqo8XeENghW99kiHLvrCAryagqjEQARswQzSD7X
KlzqrlI7TyqTdu1WqoO5MVmFJoce2pHhUpGqWHf9jPJKZ6pXwplqZ82kr8ARvdcrTrIDdrAcZh5Y
h7J8AZI33sjCTKtt3QSFf+PQp9qT8PsaKAVwID9x99NMckDlv6tBOzQC84kA9mAopfTAXq6asDVX
nYPDsMuLQw4igkix92IgotMAHiGG7lM50yQYwt23M18iYibtdSAn2FgF8cfTsQVGkc1Uiho8Bdnf
tBJxgknAFQyhuCWUezkTLYje2sYajAsrMM420IsW+IUZMY5svvAwkmbDpPiYzqQM4conosPPnUju
3JmlkVExBRp0DeInGIOqVbSqZ/ZGFOYI4pJTGMAJnOkcBN2dcnAdcuZ29AA8Ij+6o/tReYEShJx9
xaselfcd0A+F4oNSEQ5IBxBEUZXHbiaE9NI56TMzhHjW5MpKjCf8FodGtV/tqTlAHL+YwI0EM3ek
KUxSTSGR5HUGBQ02SWlbB32oIY5BLVG08LoLsPEnAE00+zZRVsboHEpIJ+6MPPFn+EmOtCjqqGpl
kl7Bl1AY2NWPpSIphUGnQPC/DE2f7EeoKnpPBxTKiqJY26npSXefASxiRrEwrlqksFlASO1gaZ0j
QEWtwbc+Q1y6GeeSZNOTOwNeMHp6sAmqmfqSzvwXCQim7acdqacvmjmrD1WVGgtmTBnFNzI1X9yZ
JtMOWIHyyr4PFBp/6sycqQtMe3ooV1nFWggULcV8m9NUvPjvoOWLm0T/5Y5785z/z7p+zj9Hzee/
0aXMD/6w9WIVQRGEbQM+6E8QI/bcb048dbbpfdt67T9c3CIGINA/H/Vt68WfghObwGJim/61LuVH
SdTMCHBsaEgm//BLcbX+uPGaKPKc2K+n8yQfKscnLFd+rcn+UXT149aOkIvfKiAkUUm4Gk8xv4IP
WzuLhVUOpa6em0HBS7Y202jRmK/dvxR3/eV5fiohCgUtdB2Z6tnEwazWx95+/VBTXX6V6nxkqWvz
b/iu4PnrO/lJ8hqoVa7NNMOzNmD3MO5s9531C0Pw2W07eonoPbvHEsJJdCk5NKrRWxySBXCpFVcy
Z5efw+QPlhmw/OfQstHf3IDCWA6cZn/9Sn9qefz1lXJhffzMdTgusq/nz0Jf+fjdqvKhRWqNkfHc
49rnYEKT+d1mhFvxR8eKfqNr/ELH/PmjUlXs1IKvf7Z5/vgCEFeqEpLKeCYXmROw6tbpMaHUlPAT
jar0XCotEnccdDxDQ7+iv1bT3sK+SYuxE8rk1WaFibvkcMrcRex7V+JbTDO6D/q+90WD7EWJ1btB
z+KNnriIOHyOx3kcE2RT78qW0KWuWqtyXHZy3ITTubOiFS7CRVEpC4QbG3IJLjPtEuQ+iqZPjc95
CI1swA4jUzrV1rLD8qTRXQQx5tkTZ5a4xG1xi2ClWloAhSbgTdGoei0xN7bIVn25HatPTUzEkELC
cp8fVGlcxfEpHrJNB+/7jqjVRalPOjy8W2lYSw5Ni7ijjjWjwIDUXjFocTLmAkn6KBmkZNmE4cf0
cXkExm9g8V/QDd+/ob/c+MZPtwuRoU0sh2Y6i42+9XfTUT7oGwJlzqS3Hskr9eoVMzlvXOvevt5n
62I5PCo7WH0bsbFODLS+gnL/cZmYb57vr+evl+xPam8DB5edzZdskeyKhLDlZU2pt67Eb5aj+dL/
1fP8tOA5UTalYcjzKMyUb4fXKsAE6oENsPzf3ARfGos/P9XHm2CedH9Y+VxeV627kXYOdS++JNyo
HThXLPpmBbIzOPe/e2s/ruVfP0LEjAzvHXItTfenrzSzssG2EYefe0qYfHrplMtfryt/twB+fIKf
PjuREyHZBZp2xv7QmvRIFYwg/znD/+OF8Lsn+WmVdQfXYqrJk7jdYar20rqFF/fr9/F3W9LH9/HT
8jiyV9d1ZmpnxKQUpz2m4msslaCTvl5s/79lKKfoc100xbv8X/Nv/lyUY42UQP7vH//afP07qQkz
9/yHv6y+MNCv2rd6vH5r2pSHfv285//z//WH/0Ex3o4lJPXn1yzKl1Ej6+iz5Nz/M6ZR52L+54bE
ddS9kezz+vb3D/xWGqnGHzN1H1ijQBk7Twe+NSVmE65NUwKDDdUYsrPvlZHxByq5edZAswA1yken
rf6HgWDXAbKPWQ6R6r9qSny5Xb7fvvQ0dNoisxTdtSxNx/H74+0bajlugVZH6VpU8GqOSqqMMGtd
QzSZWJJTlLDva3pCZpkPCIr0mWmtopq0sevQLHNSkZ7bebvps0HZmWaun9r/y955bEeOZNn2V/oH
0Asw6CkAl3RBGRQTLJLBgNYaX/82mJWVTGYWuep1D3pQw1pZDHeHMLt27zn7wIbxBtHkFxnqlptJ
ZXrZAek75FFbvLZBO+xFNiQ3mjLQIy1iIhPb0XzzYaNsC83y13itFn9G1RZPIVuvjZ+foXdNaaHZ
6SYRyuDNaQ4coDfgDKvRfC0ag/XNDtFD5JOSMkUD3VMalTeKWDjY4okwDM3kMss6/1bEdnjdAUwN
b2RQfkGDbE+p5h1HVR8XompZTC7JCg8EH8je3EGiVTQF1+I0WMX0jHG5v6prxWJtKzDUekST9/LJ
MEiEzfSoiu+keNapR/rENN2RwWbtDLWKAEDvp+oJ+Zu603qgCDPyJA8roFOX095qSxwxuR56cl/b
+kVfqvUzlkADNz4pSpxJ5QbLY9XjA5uiXFU3k4INbAoNuh/FrF3PStObW9FjkSrM+LWN03BfYuCZ
jzqpljurAhd3jc9EWU+1ns+qG/JgDsfMTqdc2ry/CP/bS8LmrVgiDZo/LwH/p1cEXt9/vSIsByYv
egv+7rDEH/5zRTD+W7YAefyjqbgUth+WBLa0xWwGznux3/+xJMCCpQcp6CHSRGD+yMb4+2FJgIll
lYChgVkND8C/NUtUyJj+WD28rwlssJaqcmiysWcv//3Dlh7FcdiEJNYdccdxjteTipfW7Qw9Idqc
wZdwlX42GWmQSikY8ufYq7vCh1eUBwcVwf1zEi7SHJoecvUUm6miXA5KQ8cy7qcSSVWf22eQ5vM+
ULs02lXtJG5xPUj6TmnkWnJsG3Jf5qv+PpkMGdVNksTKTWTaKaDVYE6bVzsPjOFYqyXukwXz0zOr
e0P/jgo5j7qU3oPVMUJbnnb7/cFvq6ndaaloJHAiYTKvfHnqnmYNGzsrTShfCJQi6GYqqpacsNtV
ONqUh1Xdrjp5ii70dmJw5s8lWFjbt5+7Bm01ZlJ/ALCtoWxP8rC7DIX+jJPuify519hAMQWMCHiV
ob+VbfYGpQqDZ59V2k+Mmy68AVdUwbDLZ1lft4nUPQ1GAAdFyFHkDgn+UMvGB0gyiHWvSBG5tsng
v46QHLeIO8QOjEt4YO6bbROlNk9m1cHsK8tqQ5e5cOuelSVL8tHVrRIPWY212u7RxoRN6RktdMmh
8bFgZBdWZ0OB92vzOOn6vEs09OjgB0gTgz4KVTNz6gBykwqc3C2aDlA4/vHSst8YL0obq5+3qWKf
VdaqzeQPcEqbDA68j1Ib5MeDFoKfSYYZKypUAMzwCG3Q4rWg10+JOrYuBr2R6Ipl1qeb+irGDHqm
uZvcMLJWr0Ed5G+xrFGeV1F+j+68JpO2+plz6PrNnfWfVUulvPx61doXz1UX/Q1wafnT39ctlLMs
ByiZlppFoT75Y90SCpkVBjsfU5R/qCN+b/JY/61S3SCcYPTyD/zf7+sW5iMLW977P/ZeGv1e0V3+
VqJQDP7LippB9Kdla2kW2dqS4q0xe6Gt9Odly7TkbBy1qT5PEoVB6QjMLnQMcyumjR3m50jjSBea
4cnQIaiDqLiC10WdEMjXqq9dJ3X3VsgsT+MY7uIezqqprMFsHhImg1JPsGZOokUOIFaYuPe18WXC
3S8zHXXULjtR/639wDw0obQuJukK3+adOeX3Ok+45Ve8KxbZrha99XyX4PMIJYkJY6judCv8QRYs
BDr5CoHYqSPOmeiB02hiS7KN8UAM9kavFYK2gzud5FGJX7RK6+HFjtqjb3NardUnNWARbNt97hsM
cuyLXqtOfhiebOC7NlqNICxPHYETaoFfdBT3pqZvQ+Jo7WlypKQ4x0qMoU9ZYbH1qmb2QrmHl91c
hmF3DIbJ7UEQaeRCEsh7qqEVJPavhoThVUZYJBG/3X62rWcYQfidtPs47ndSY3vQm1DVzxspjj2M
/I5R1kCp0EX4Y3RebK6JSdJzbNzpTbadp+Y6s9qXXIwnycpPFGOH3si2OtT9rJ62XcUsJCh/mXGJ
ywb7EaNjNdCuzRBJiSWV29YEgaulwzHpTMlRJlymfvKsFtq1XRpuGPm0qDvz3EntIRCZNwf9rsZZ
T7bqdWxj9Zf9H1o23ZF2sTJQNDgVGaV4lzUn9OWKYXd1hFo7rI2hIrAZAa5XRMaziQ5sU1YjOCjY
ssFY3gvBapsN4wsiB4z1dc0muPqN4uU3Vh1vKXjDHU7iOj5r80zwUEx8rLrp65zGPBN8rx+bHQGf
8qaowMlIVnmdFG25zw10MU1F+KmSKuqRIMze6yeFLvqI74UdUXhUe/G1UARFskzHqYV0miuE6cLm
XPGTZjdH8uKSkWI6cYkDq7XkGCvQoG3JGNfB5043kTZVHrrfEXwsvpm5a0uXdpCAvNjcMfnCumzQ
eIpTcRVZIFxmaF86SjpbEreS8F8hqcA40c6z0NdanZwAYQ8s/72rpf4bU4ujFbf3EhV8fKy7tl/x
/+3cCuigoxrBKsqKK1Fgi+ogGzC+a8nXINh4Dok4ikvtJcAA6MjY4lALV53XaPYJ6BTJtWACbQlj
b691mdv3zAsSYb0Fpf2UT+JO1403vj/6l0Ju3GmCDwK/OXDCDAc2ITXMYBNahn2pbMu09hACnvsw
2zOE+KGN06/OlAl+sPaYdzAmSSQsB+GPaCZjNUurE3tetYZcQSetk4xjkfo3hHoETAeTZiXCXvU6
DcnUoOQPCE65ylX2UyosxkzjsCT8Bvk6TsadL6WbGKG+a8/941wwdSId9RzJ5kvYo9fUejw4Y8Zz
axpb1eh1/jJlNEe5JCqxRuVDvr0qNn4hHlpyjBHdmww3GTkGXUMzMHqYApV/XNJeI78Cf27j5Ora
F6mrF9IMcAlf9qrcv1fR4LoTg8dZ4JfXgBarnSRcra0hYtflbTiomSfH04Rzifs++v6DusCi/dI3
eb7UNXPqihJu4BWNkolpHK8lkRtQ0FT1VyaLcdP7AUpvKO1RghFsyKodkdUG363fl1ZzHjN0zLj1
sS6ouyGUT2Hb/8hled8OADxSCepRJGFE61CqJqF8MwTthZ6Ht8pkosKIiVCvY3TX2qB6xigdIiZ9
HAuTO8J9yCfOStNLzRKTVhgm+boemiB0pQK1GvZJGatcH+40MlrCFAhHLlvSRp5RgE45Fs+8yZAn
d2KPvJm6s6EUUsb0KiroO//nBPU+ctI40nxRi7TPgD7JS2r+2lRZ/vJDKbJwHZHk4ccx/jxvUqgq
kHGAMFOXsxCnqz9KEXkx3XBOMvHxvP+nP0oRzkHm0myxDaI4/005pvpn5AEHNYtpEF8BosfS95E/
Nd8kS1KTekyLc8cUdz4yeIYzpmhyLFYtkRiXVNU9E/BURyxWXXaL8CMIh1UtstteSQsnU7JDJepH
9Gn7tMmvowxJA/glR439o6XrR6TN6CnMYROoBEXjhjmE8nCP5e+NXXska1w0g4s8+koPaNhkWuyE
tPc7P0w8tHmOmrbxse0kB4IXPAy1z5UXZg0wJ4cgXQ9IChGYwXeM9iIxWqa3uBPJvOltA51zqcYG
lHsZQILRlzszMrNNZdp7g+hx7Vb1W3PBKA9xhxYLT+ehjqPmMR783Ot6NRPrHhsu6sAONyIkM6hq
tt4MK0Bekme/75DA+Xv4lO87Z/a+i4KJfek4jJJrnt+by1bbhgNHj2XzZRcufY6f5rIxx8sWrXbF
MVo2bdGgsUGBsKpmiEAhO3vh93eCnV6q513Lzt+bmZv3w06bcq+nMhgHnZ4sifQWNUOdimtMpc8l
mFhKB8kp2u7YLWWGSb1hLYUHTpTrvpN2BhVJ7lcniwpFqOhDpWFLPDL5Fdk2oJIJ7PyUUdl0Rf0i
U+mQebgVVD6J3aMGNLc+XjAjJAWtSsublFrJzFHHlfJmoIaqW8tTR2DB1FaZadALsp5tq9mnS/HF
Iinotf/KlWKlUZ1hmVgNS7VWstMXDanqzSUyxseaqs4kSr2kysupgueCkF6qP1ufT3mjbRuqwnko
jj1VopblJ+6lW8bD2qaKjP3i1FBV4rRcd1SZsR5vwIg8QVlZwys9lmr7EhSUpcutD0wb6SgipEzZ
WNSvyrKNw7Wm/qSFVsWn2hCU3oPbztKdTgWcQv2lNEOSl2S7hhrZgkdiUzPbWkPWSHpPLMpdIYfX
LbW1X+oHlVpbUHPLcZ86xqQcBqpxGmata1OfJ9TpPvU6KWRuHVLsUcdLEUR+6vqiySqY9fVbbYrr
3h6v6+UI4Ae9fmVyKoiMgeOBr3EQFqSl4gbbkanAKSIShcqRAm+Wo4/VWTb0w6DwSHWAPdO+kdzK
GEqvbOyfUzCegDl7WqaSSBFcjVVreCNSxz5NTU+tqqcWTppUqwbuK3+D0mNCFupjXE2PA2KTtZV1
t5zzyVRY3MNaSw1RzNR8BPE4aqaZrhTWo1v2Uk5xoRzxblxrGH84P8BMiEfuOGFpl3EpbRo8amUf
F9uSZA1XatARY945Qk3YwBZ1dZsSZEApxNPB3RKC40bXXGKAntxcay4QU9aEtzYXi3Bb85ODWi3B
XMMqM/BKCyhMQ5W9llrGzZglD6XH4MU+WXPAwq/01NoVbax6dYHmOk+YwPozRyEJonghC9sVIXrU
OCoPWZQiUSEOAfD1Q4sny0F9BJA7m0/dUuYm0U9DRfkjWWLrlzmhaBG+pjzur41c/GhtYy9B9Lek
Ll1ztipdvOVH3VagVWusAJmUMogtSQUUld85A5rnddxNh6JSBlzd0Rl81V1vdBwQwvE2MFCQhQob
vcQRz0rOqOsUN6zoZ5C9ifqOnFI7Who/ujQcACCkF6EOG+4/e//73r/kT36x99M9PXRR81/nF9xQ
f9dD/VAAvCfcCjIfbEEz31oEF7/3UOlFsADIdB3AlCJIoE/wewFAjq3N3/yTX/qhhwrblM4F3FE8
Gb91Xj81H75qRnzuoNLBRRdAOpfg32NM82koWuNMbihbgjPGNAdEegRN+MOl+Uf746NO47OFGM6P
TRwX/5BB28O03nU1H7u0mVLIdplO4ylIzB3NR3s9ChHXazMbj6MKHZrYvanZULuSZyCVqK0UkF43
AhMUEnbem6NZm3YDZMKvjl2Nn9HNOkwJR8OQ5HGlNR0BOzL65nnVDPKqKAe53CZhBpWDVsVmHCv0
BQUwgkExlA21NafcYkCoYCDhynvjMmaEsmFJx61bBKytCN7EKmA9kHAzE6x+A0Us/JXFbb9WlQiN
gms1srRiHqGJmIYg/2ulsLwoq1DLZPWmzUsMnZy1q6t25FtE1QwdQdEdaQwf1FIhwiVEXphy+kjs
ZKf21aZHLD90huKYrXTqwv6Hnqi3ld3c1Ml8APPxw9CJwbIMcv+SSDtUtbaCwXwIQ3inQZDslBop
aTAaFxjvoKhA6iIwcSNHMB9lzotzMe2xGz+WcTy5LO/szEV1rkG+bDnj47eUX0IDDFpYqqarkWwK
ilR5C9MC1CJe7KmA+YaiFcyyBjGkHUfiu1R/vsCXd9H70mbEg9dCadlQKNZepJLQORO4NETHjNbo
ylcXJl9Ybua53mH+vA7Btmxiwlq8QEpobiymjkbZ5c1Yr+owuynq9iKkkHCkSTZepz7hLFwHgysL
Yz1ipMQqEa2wmTBnQpKZ9f5uLCuCywgqBlq1IGQtmskWEJUg1m90baIeHTFMErkAW8u3Ba4FjYbu
1B4ro5dc9LG7PhlJe0jlN83ofhKiBkI8NbIL1WZldsJEj67K3Mo8qDoR/Fy4JXQgpb1Nw3+DwvOV
5KrdbEinVjHv2P4Xwr+xbOB0Ziy3U5XDnFlXfZ5DyRMeYItVo7CTGCh8h1RsLMgRXqVy4fXc3DZy
f6/M6DtLPfBQKj4xtzsWcqvi0Rv3qMQuZ/7RXsmPGblMswbzvJSeRYMsWhp3hTYfVF/a2uaP0X8q
rHmPUcBa63Gwqk39rpoVZzmo93QyuhZPoJYlB11Ml4EfKy5AYUrmxH5MA/G4HEEYZyoHWyPRYNDO
FQmgmRa64dyRwTZXa3wlt9bY3GmYVMcAUYUeBpdaD04IvtLCC46Imkh29GNTZ+6VH6UU3lrkvcGb
x4I0rJc+mTDHfWVL+5GsVLiuxp7RxiY12GzBK3tqoXQ7rdPaa22IwbaMF3osP3HSxzKsIl6zC7L+
hFqSo6qNyXaUMvFYDJb50FgFxcY4TT4OFj+5Hn2zoWWaKisNlJAjRW3oVVJCu2aJ0A3bCeuUAGw/
8FoQsKVHp06bcU6kdQ9etSuN5Q3DWkl+h720gyrfeplxzVMVGz8kOhOrvjFoZZb+yk9x7rea3fAw
E3jaww+6mKzFOib061aWa0etoPAFPVZTKGsXfTHdZGUyOPFQULuVTbBObO3BMG5i7rxXdRIV8djk
e4uu5tEH4b4aZ075HJtetABYv1FNIa+czT3Sb+UA/3ETT8kmmIJDnCkz9BH/KmmLF4zVbkzghhVD
teRgdOMb3GW1fAKWBCYp3vZx+8ushzO86ZiYQVyh6pA+kmm8Dg3ziXax0wEOxeHCrMUfYBm3TW45
sTkdGl/3pilyYyx4cSV+kuQ30m/UvTjvH3vV3+hai4k3In6m1dZlzW1OBlwB5r2SNz/0jga0UiCN
HeObMZ0OuT1s2wrKvTTE90E47aKBV3Qcj72fbcDj0lxLjeu2nc96YzxCLz0VseZaWn8/UAwqA3lK
5tyve42KfZRrl7uxyo3kaa6iBjCQsUHuRYWW0qZurQiK0MgkDQyKG+vGDYZ4rmCqMBzKzduqj/at
ire9iWQ8iCHdWiRRUpRf0gxqt0Uc3OtTRYSyXG91oJAsNx4dvqOa8+uz0DzAEQDHFOyxlD/aJfGR
c+GW1GwAZ7dJxvCp8TMsQckzp3EPk9a2S+fBqTr/WW6TPdfai2YCfJGo7rVuumpKma+pNVCbpW2t
G0++XO56uvsAHW58yJaIKOY1gcKczqPwUtbGX748gKCZ8ydZo8gVc3S09ZQ0xeo2y9uZg0ix7TFz
bS07mw4KGJpYiAO5Yk8GcdNyTVOQBJeW5DJZIaNVGy5lgVkJ16K6Sqz6IYe+s5Zk6yzbiK2HvKoW
HTiC6RC6MiEvr1EqZV4lB9LDUBo8L7OSrsA8+I6qRenPsY1MT6hZCNYG6jhsCv/X10UIM+yPMjNK
kKVfIgyqEMILSST/88RFSXSFGElfOsUwP5Mfif2i6b8pCf7lWOe7j/g0i554io2k4yPkBYVF9748
j/E3iq9PSql//AzY9dSGJGeon36GEN2E2jwKzvLALm+iEj6M4y02va+v1p97QkvBZi/eJIEC1ICP
JzM++1iwBUU8qWbSB+cuo7lBz7kRi6DjrtMuh15xjIamp75//8z/jDSX6d6XR4n2+b+c5/rl+e9I
Qcsf/95J5CCBqIKwA7QO3JPltPDPg4SMPkvINoBEyIlIfD4eJHhdIQtZxmIPe89P+L2TiD4LRRVx
m8gnZARa2r9j7P7LQcJGJIJ1nMcGvaPx+dFUQ0UaWmqDU5g9zc1pHB8/XJa/O0Z80m/SqaTbqYEh
gmokbBJ5Px1VOr/RWl8fu1M36ytmV7/QLp9SP77W6/ZXC2aujuvIyzQVdZKU7/BabesqXnVmSfdP
MopNMaib3Ky3UgMysQvXWlP+lMhAAIJ+oMc/YoBiC57D9Kz0ik4XoW8r9RxkHBY4yuOL5SJiKq0I
+lTB8mGalvUdcYQ+cyWZMO1l/UJrZnrasqiRL+A7+HNTDiiCieqy+MXLMmgn2mu3LIxUigFji7C6
UJZlM1Css1kSGpayotrL0qosi2y5LLfxOCiOuizByrIYT3V+0bM6M/ClchOevSzb9EKrbcpKjpdr
9mrWdp81njxikL5AG2dWf2nZBojP+ZUl0hmYGnHiwEHWaFBIl2xvTNTSEnuJWtnEkEnbvOz27bLZ
QGS8GhNI7ss2FMy1RxzNvjLNZ1/BNg4aiOgFyeuS6LldtrLG1Og7WNs0iM8Se52OfBgo/WPDHmiz
F2KCOWjL5liL/pjihDXYNeuy2hrLNlpoJPouG+ucpJf1stU27Lktey/DPRTrUrzXJO2WfAFycZaN
Wp21m2jZusNlE+/YzadlW9eXDd5np5eXLb9g7++oAQZqAe4FvZ+c4xwjrf1IvWBTN2iF6g7UEQb1
RENdwTnrOlwKjY6Kw9T6Y0gFUkzDLhjj+7BnKJdRo5CgcCAE4sZYihekbPeCakahqiHlbF1Q5Viz
vpbG+ongIZqwrQ1XsHks+PG4f8aNNM0/EyqmCW97TQWlJuOhBP+OHT1A1EcwGuXJUnCZnJCowHgL
gBfFj4Hv0wNv2ngtdR2PTfVronqz4KlrVHMLH0aiumtAwsD8jxnU2q6spy/zUgcuBWFIZZjEdQJq
jmJRk8zbkOqR6SZlZBTEjpxlL7aSMcNfik1rNnXS2ilAI9iYnlQqvUeZFFOjdkuxKomavMClgJ3j
4UamopU6SluxFLl6NVJsK/r1uBTA3VIK4/VK6OerDUdoCmWhRf5qoHYOWoroiGpaXspqeymw66XU
Dt+r7v69As/eq/FskhiSQ5+PTuNSrlf0eEnh7ZgXEMDqwphYyvoi9DRoXHRsJXnVzhoy7OUgUBBj
juCoky/QOy3ZA0S9VvVFyxCz1Er6DGhAHVJE6EOIqtlyjoxXQdQdDCUAVpOUMPYJU/LH2V7No4C/
oqXlqmirAgFklJ5NlKb4yKUGGgC/2PfLV32eftS++mwm1Zb1DWWTQu4n9DOImtLBZwa+TMp16nkd
vREJ9zeFjp+RE6af3ndJfj309eAyKQKxD0tBEHYaa55qKp1XlPkFOCcWRIUvbQ5XeacGbknDnzVq
H1T+NlUXCCb9CKqFlJZGqMNNSuX7hCG92i1mDj/d5GPypMW+7jTRgiAjX1xpSSTwtch8KQemqvNc
NfBJqyG7JYZxWPeRulFNYBTqDH8wtGbOD1FUH2crOamC/ovdXCmVAbes4dSVocUCheux5BGm6HdA
DfGFpFN/R8PnNhOZ28GzTcmIJT9kGtrMZs3p9oNsFE+51jL9iSRo5yFW3K7mNE7L36tLQzvT2KyR
mSbkD/dx2G9yhBEblv7w3q/4BNGltzkuYKINiYvtpjpmFBGccls33BRV865LiJ3RCvNWrwoKHS3m
BJ6JpoL54/trBIW3hj/dWrk+P8x+HoEHwEypgxBxzGFctxzqNqXc5xuiaKBk8YdO3evdQx2l1nq0
pmheMt1DdqWw3WooF5xkKNcqXAYynYvHZSiVQ5sYTVJ7m+IsT+Y+qaY7OYxXfQSZtijDuy4Vt1ZX
2aS4jD10nbj2Cj+d3LLDi1vK8qOKl4ypi1Y9dEapeOB+QfeEPOhQYXFF++qDGO32xhf6uLY6+Bwx
QsHV19vzX6pfKISGQqlhmzp4IGMpKT8oMUWWGaoVxPmpTcCcjRDTjeFqqJv11x/z2fS1pBDwORry
OrzuvPafi4DWnLME+eYpI0ikMcQdq9KllWVPLJeIlyebGzCl234s16mVbBsRHoifAUaSX7BSHXDv
oIpMrkK/uzYqeaWGMGNsnEqB/1Z0BsNzXgFtJjpIDp6//up/e4XQwZuKpunE+jHt/XiF9KwrotZO
8tMA8TSYbhepd1h84yN6j+r7QyW/lO7mbycd9PsMkM1P94FjfDllSdefyiAkMcnQdvRPNHqAFftG
3+vgqfsHqUyLq5zklwmg1GAN2LAm/OO+CmAtztahNHdXOOvsG6Zvblf0J2zXnC4LkLG6iGlRFcEp
kqL96KOMGATvjZFxIJkY0F3rSvqctClO6iDazANdhkYhrymNEpIE1FepFmuCoTqXVckg9NRW3KJS
N3FYJxCjYREiEyfwRbxB1H0eTR3xhbwAq9PjNJsIM81Jgiw5xEc5LDNnHiGR4W2LvNCOTU+Jgh9+
p2S31UDfzFaCg56V+roB5LI1FCINCrY4BWf1FJvJqpTFGYkxGTozpi9S4g++/Nxp6043d6yLj5aU
wnkdlO0UawSV1+EqL3PyQHCGq7SJZo3SY+Q188yAiSB9p23dEiySKeMeLf5zEonwdUr1jWwgYjHT
8Mh0DAVeU60JLEFVIsbrjPhO8pogkhnzeFGZzTcuLtRRPFWfnwdeyCWCeBEdLjLtj0+dr0oF+UJ6
ezIV8azaDaqcsk9PhoRGjfX0KWgwDuVN6CrGSHhuWjusqEeuyozrmkQeuEZHfPjOMIujXlgPqpaH
6ybTq3XXyQD3dAGdKKIZ2lu9tZILLduix4UJrkSVh+SHeoSFSM6K3AXVfRNk0egqYUPzD16eg5PA
yZlzGdmMJcd4thcHUK8Upltn4s4QE7UzvX21VTyjgCDA4J00scF4iC1jN/jiJ8haSOQDy4CdQoUc
b307Pph97VYgvw194gkpnW4SN3rfH5M4vKki0EumvTGm9sFKEs2hbpRXRtVRC1b9qunQf1lLlKNK
PpSM08NTDOlZ4plwS1t9VFTpQQlBW1QtxsHQhEMwAxGSxmKlaPVGZgxrw5YTJCuxG3mkGssu0bwX
Zh1zSXrMfAz5MAzdqkN5soHzNtg01EF+rfBQ5Cbwv4nvSa5TgjUdz/jBzI31UGheaEYgInPTFXZ0
lZQ0zSdrXhXNtDJSvO4lBU1hBJxLeBl7yb4aqvYXHvkFCog0qovXbduRVgxCQqCQVxTjYDSEqTHl
RXNHJKUWzPQOqVCTDqW24q8SomihNy6Yzks91OjeF6AgpQv6+V44MMZU0kcalWtiKnPwVpqnKOya
qT+sW7Z3fP7QoqQq9tJE2sSDdTHHyNdt0m8HhT5+A7gA2Zayjhmi64N16VvKNsjbi2CoDrmlU/W2
qXROy8XGmZp7LRguSoGHH5Y596bExDrI8TYsh6PUcEpIDWBg2apA8uD6w6Whr0y4j4N1ysa1Ma0L
ZINmf1/KYCkz+YisFkalrx3IriJNw/f9i070ptvoiuKaMSFKQz97JXXDtpjaxpsM+nc9VYhZALYy
yZ7s/Vr5Zmv75k19d4h+3EFDe4rtMungcYDcb44ZevixX7qs56Q+KpxYvt6PlibOFyvD4iD7uDKI
EDdEnrEyFMUbzIZ+RGVwyIMHJJZff9BiAfvLJ6F/0gg1sUzkusvO+OGXDQ3chFjuwZwpE/mj0di4
kS9udUgcu7DAWZuM/UVZRpiUFFk5WhVxbEZc4H+IiWUd+HddZiW/0C5djbnKZEvtfkhRcS5k8yal
fOPU47aNuBlp4np5G6yzNnrKY+1eCtPyOugYTehhCFFJ75bZAdk0ympSIIVQ4m3yVjXv6azelDPg
RFXfd2q7i1SBfWPa6aV9HpLgombbBjh5kYicl0lauO7uWCr3WVmvotTfDSU5aOkIt1HPoAVDxEyH
4LEa7fpeBD62kEYNvrmqf+63/LbRf7yoS6vww0VNDGZdNXjvkzU+hfPLZP3Wj/uX7czv/v1PG4cs
oXWCFzqdIusGUotTqXffPBZfPxXv4OkPPwB7bCInIphOuriMYNFxmWT0HF9/yF8bpuQqaxZjcka7
i+7/z1dpNBuayRq/wobv3762Q0ZNcheN5jd3Q/z5GV+aUzoZoLrCVmtTmiqfPmgCKAxLsBQnyphX
NjXvNl37nrTqnci9d3Lnfme4/eHlOnLDH+Pqme73C290s1V3X/9gsbSAv3it37/oh8tq95Fd2gHL
SLvuPdI9V+NNt8muwrW9st20XisbrvMavZGDzGxlI7tZaaf89etvof/dt/j4dH7qIKd+k1oC1Mrp
YdyJFcF0a/vSdM4NEnVvc6+7B8PLNvYpXI9bYr22t1iyNuOWdc+ZN4XtQBZ2Es/2pEO3zTfNOSQQ
0Am8H4XTnWR32ug7e1dcDNv6LlvffP3VP3nK/vpifaqgJdFEKaGEPJcO89d181auy1vFq1yiVbzQ
g/q/zvbF5vL1sOp2usuBPd4jUN7Hp8Bl81mRd/rTd398/a3eCQ2fb+uHC2p8soxECHdryLjTKdzZ
TujOW7JTb3MYh6iWHQa2Tu0yqdxYp2ornmikrb7+/OXx/evH//EefVptWGqkqSmRcMhzsTKH4WKW
klPfycU3m9Kyqnz1OZ9WHeR0at/P6XSipgaX+SqP28F4mVTy1XBrleuvf9Xfr3H//FWfD5MSsy9V
r+LuhOOWk991GVz9zz7g05lPHUFuGRkHKAJcREwf0Da9rz/hmxvzbjX68LpLWWnl5sSLVpQnzGzr
UjzMnfXNXfnuOn1a3BoFymdvxu1pXO4KJGqGtO7/7Hd8esC6Ysau12TTaehHsgRPWTICrv5mfPbN
02V+WpUMP5AmmnPsBqPhana+StL2rKqdC83TjQdx6oFw/n/8LkR8mNGIcbC1Tx9JeIPql1HbnbTs
Vx2vEzWkybf5+jP+9vZ8+IxPL00a2I1Uhdp40mMiZ+SrLPumq/DdB3xaEqGMj2pcVP1JZtGmGZ0Q
CPf1T3jfH7968ZcN5cNzHEYMffyU55izgYMdd99vkyNHBGgnbrhiEvltwt0i6ftyrVl+9YePVOj/
Ka0I2aMeaAznrKpHIL6VMzyj1dn1zuVMVA5bt74iWcCxriTnul0tu/rlY3Wp7jm1g0lbTa2zzd1w
810A399u5B9Ll89PTlQPsuLz0innZSOXHNz/2i5XXCfZaN597uwh8l/8QrgFnPFuusCe8s3qJZbl
6aub8um+91JjhJU9UUt4ZBt4JFEJw7EvUu8aauBB3XTeI1FFTk7Hdo28fWO50jcr9Hdfwfy070kj
MQv5ULYn6aJwRnI5nfinviaK+qJ7G7flKjuYG5IjfgWPqjtuknPg/T/2zqu3jSzN+1+lsfclVA4X
u8AyU1mWZUu+KdASXTnn+vTv7yi4bYn2rIcChi/Q7IvBtFpF8uiE5zz/FG5/PzUfL16/GQXr1TyJ
UALoVcrULBf9gjywSSCqunU0/diu+/UaMdZkPMfU7TMpvrNkkS+ty2ZSzpq5v+4m/pd/FVL5eDF7
83n+Xu7GqyGxJQdsKGVLKeb60lySn9Yv4BeeBifK5N5bu4toaq/zFU29035q3czxYuJPVC+jxXUw
E0XCc3HwD3RvsCB+Dd1/bOJNyWR67cUifus7Zo9xHAYKGuxe7gZAO39j9sD5XBSgBBuPJglie3oh
/xLhg9O6JeOiIHN5EU27F8weXjCMXWzikA1zpwHp/wPyr2qLufL3XDJk3BkcxDx8BkgDkI1fnewQ
auUiTbLmfIwz2qyQsxD4ckRFtYWGBvJnGUPLIpaawK2zoLS7maGQ5FOm7SWw+NpyXPYlA3aIsHut
pOCE5PazwYK9lKnBtSxHD63cRojWWhpiUpfQnFHPslGQx2TTmyZVfpH2MpQt84ta6bdO4aFnwZJ5
4QqhniONixgXaoikROOqCAgtT0KLl4efDDv9kg/ZTetDSs0I15i6pvmpxD4kJTaxdqTPGKMSzmVx
vgdnbeSf1lnwpcrsZBIQnFJqxn3sePY84YtNhhhDAAhO7OnZXTIAjsCSGnnsEBFU3sGK6m4Glbs+
jjALXR/rmRpqtA+6ICYjwX4ofESOlHqnVR1/7FL8am3PmBuR/SELnIeici4Dg3wvtQAzlr2wnrtd
d27n7a0cpfdund25BSZOWXqPNSBxMlHpzZu0gwZqJZcIQ1cBrXw99L7EKmBoHtu0V01csLs8u+8U
5wwXm3qWDNjQ58JWmrQKjFULmqCUJad1BVKvu3R2YjKa8nIxZN1CLrtjj7gGQUccxvZboIdb7L4+
ajB4UebekmKHctLiQ/JHcuTSmHSdhRJCJiJQ7QvzyqRB5Tv9NwQx2Qwe4TKTXZmIRpyu0E1+1j3j
g14PmDYE0UfdU781qtmuh0D8OrjeQtea20SCjpv5cDPI3GtqyJVuU4dLOuJ3eOBGC9zmzlXfkJFe
WjFteyx9ZV3CXzVayBZAAWzzZVH78CYiMOQm56+W1CooqWEiYw20SQHn1Qyqinh4Ih3dpCAJJEKB
hvKDluP4waI336XIhAq9mOqja/Mk5Jxy3XPajxWtS7jmE8PCVssemcRDxd8wUXNv3pXjNURx3jW1
IUm2C1durkdbOw66iEwRNcaqtXC9mRdDkIRme0+KyK2NqRDGEvlXWcnKSZq507LriQaVgxW+O9I0
k/yVnErhTLKidCrLGT1qsspl7IIgm2PU6nfDRGvtLTmNp3aftQiLw3wOQE7A0UCsEaFAcy/pCQbE
FVglTJLZmKAcqb8SV4TapFRMoK18vCQYVz3RU9zKe9hy3jpWHZ8Myaj7rNqAwrDmKz/4xDC49YVa
W143NwmZXJhuIqcfLbrX2YxO8ahNsBEUyIFNUB0GH4F5ORTwDbWi9+5AHudYpZMjKlw1znNA4LA2
0YCROiejgvGJcr/2C1lQr43+Ci78sesVgTbHTEAD9bHjcdbbZlWskTRDpC4CSIIYkWgxJsSDBsEz
vsoysy+wTtHU26iT5eAshrDCPhP7yqw3rXvZaxpSNs2hpGzo3MzBSyXSjYLUbtXyPsq1FVd3qtt6
3Os1EikgKCam+wWmN/GOslomJO45PUbyj6fEP8elTtH+6+Py2t9U9ebtcSl+6+W4FIIYxTGp9VWD
6Fi0rX9T3DQs023ATX7yfCY+H5e6cqTYdJW5x+MUZz/KaJ6PS10+Um3A1ifq258adxivSkG6fBzL
PIXkAgOfEBQ9P18ZVPHmeVzEeJdbITkOQFiK3n1CvIGPcyFd5D7U7grGFdFKBGsMmAcTrQt9BmuD
treBmAXxFtFhlMbTVMFhctCcfFJ5HDa2trLjZmHW7jzplVWHsC7BUxxXP1JPNeWuMgjXgkuAkMGf
V32x8S2O2rrZojmcdwhGa3KVJoOSnxW9fm8ifPEGJwBvRH4rBUmzCvNyVTrOSYUOIMPzYFQxSAbW
JC2iPTUxxLS69rxTQcSHUg8w6VQ3MQaxCIdu8dgwFpZLwEoO+21ZAu5OMYeCL2FWx/iGkOpJznCt
ojnQwnnkh9duixtDr6HBa/P+KlV01EWkwSEylVcE28snGsLn6Wh3sIlSJZ1IiXXhaPGDGqASGVRA
ycBjLyUB7SNZut/ivCGvLe0ksMrwLNL7bBbg9DNP2zye+rmFJ2ifDYBd9pzT8Ng3apQlXXxTG6WE
HQ96Xju78jFnnqS2c6zAy5kAip45qUpeU7NU6/4qgGIybwThH44tSnr7myIJAYqaXvU+NCzddu7C
UEFmm0v4tIJRNrGWTAdT+zgmwV2UFrMuTlBo2BFU8CA41RXnJCzkb1U1miuYc/pMDZph7lcmaLOr
XTW1/9kP+fweymvMXUQCZ66vGhMJQJ5q+pyw6W0WRhiUxLOOJBc9gIFD1KiJcpD3kfuKppWTErrl
35K8+KEvsWnP7ByqjdYsPY+mVpHWw6QGmJ91Ib8XayQ1KkmkL6n5LrLMFsUdf/cKXaPSF7C+8jti
Bk/rMDgtAydYS5ASp4YJwK6rQMJONagIFTXkm3VOpZCd4y11CqZqreE7QQ2sAqSu2V0RFgEpFsDC
TVDOej2dmh0fFFSN9njcrgpFvlTVapobnbCEws7Ka9ZVmt80UrvMqvTMz7KFbvYOcF1A1k7VOnPd
7MjfiaEA2XJ7C41/W7XY3YT9EqkkgdEpETGpKTg0fKvBusyKrp4iWr62o3hRy8cFl7T2zJWCxSA7
cPjSC8VIL9UWgpQxXkgNSpd2aAn/QWXTkEPWZP44UxG7gkXFmJskgUvclu+i/jAZch4KepZP4ZIl
IKcNDW25/eZHfTTrEw0+Vi6WalR97bF5QOWMG0zfwN4pwqnbOM4SA721r0ADHF09KScqMdATO3Vg
BBI/Tgac5hJK5yNqlmxtUaKn8Xq/Ps7cKMTBQ39oDEQUxP08ZFp7W4zN/Wh1IXgwJ76ndZcDcWFT
bK7wx6jNmj6X2kJdbVK1PFG9uD5h7ylmoZ3jgtMXWKakZKQZaRKaCw2hi3GDn7xtL33E0cuG4GvW
UpEq0DD6cpzbDSkHczuViNEsWtjAK7yT8P2jph6DcylNhubakROlvu6cUtJOmr6hV2+ksX9bjrra
XkR1vso85Kp5OJBZrkf6IggMIvfkcaOU3ofK1TD/j/pjXU+bRSmVeNZI5olh9cGM/Codoph5X2RZ
hczLxPI+1G8jyYSE1qL3UuTRPNYyJnOU2pgp6zptEiP7krv6xg9LdVbbsFwhrX3DOgYCnJ/JEzoM
6JW4qMDPhAY8RP3ZQLphHzh07HLpTE/LK8ltThI7+9IG3bdRgina4+tRKejrvNwgrlHrjxGpGHKH
hMXKN0GUfTADF3KsahBshxM5iDbUSDU8dyvnVAqHu9hXv42KzFM841vUJhiHBDNpPFaHPpzpBsIx
r/wQ9Ww9si8jXJr18UnsW2dyFMN17DMRXrX2NQ2Nk0Q/swjGdMJkPDetCEat4XhzmXhVRKnqrLOM
cRb0zRnY5An1ljtlFPKVlRZUqujKlpresrfrOWKzwJqPUKhQyUkf62g2Gt5ntawAzqEH4gUFvcuO
nI43x2XFiZyVNsLhGfsY4T++T2DufXaR9Dk2CVl3mts15Csb3xtPsS6CLj0joSsBO3UvHLR6VVKt
vKbemE43zNU2uh7QRM7HRGQfOhwgRtjcuE1DFmSXfs7i7DiUCAO3mvEWPhwE7obonageswl2hNK0
zOpt5Tg3bNALOcfhOvHrieppK5qXN4h4RMBoP4V8ui467bK18w+OkX0NOOggTsrnuowUzmDdtanu
YrullFNDLtceOafsup3H1QUnGj+K1o4xCH1lOiV0vlhWRtBNA72CMNxcUoksUrX+1CYY9ESFD1wM
uXNo9H4eyUk7lxW7gAHu0rXy+KmF6H1mRvAWJUlZmiopaDUDOsXV8EKmvkfkUR8TFl9OCtM5tqr+
BoK3jB6TQ5AtC7eA0VtKnXISp445HTryT7HMjE8Iu700FUIapAqKTZ3KyXpUY01wHYgm0gqXFEsN
1kZwyYX9k0SU4AKzLoI+ApcNzuhWY6KyJAz7UsWdD4oITjpm1t9jCP4ZyOSiSq17CFD3vSkv8sq8
zSLvNvNyc1aTuOIm+a2c2StNL687Wz2BSoOskLu0HPsnatltPHwQG0vdOhHGik1wNSoWPjy1fJ3q
YhOXDKyrSv+fsvspjEh4hf+m7A4qUjOyZkfhze/9UHjTWxBKERExRHvpp8LbUhw8QGGRIiT5oU+l
k2JELCBdJMpuU3SQvvepKLxJDoKORsSfTJsBB74/6FORRPWqTwV5BNE7CAoyFZOP8qrwhjEMs7Ek
Q7MvZRZYq3OvzHUar3rHVZKdCL8L3BrlTqbfY8gncpxQVJqBFa1jW85uA0LKzugYiOBnrbgO2ThW
SEmq8y5y84e8Fgz/uA1O/dgaLPYqdIy5I3UabD6pv6zKpL4oQmiAkmwiwYBJa0OXVOiopG56HtGj
ebAl/8PQxwbZo6iCVTxyliOmpDe1PRh3cWuxFGh9nNWVb+Gql2bFxGqkaKEYQ/YJtmE98bVK3UL7
jm8NOU5XnoEtXZq71abFkHnuy3aA8YzTLa0QM2IU4vlVF6bzuAnqBYz9fNZ2it5e+FKqt/cZTlH6
iZK6IyGf6G8bGOt1I211zwn9c5+sXEJ33SotLyyfctHylN6/9kNHpPY2cJhHNiHR/XGkDKW4p/u9
vshiRLWYtLfQwWe0/OLgxJRSymVcTIevYasWyVztHFxM3f7OJOp3M0iWkcGNM9OF55vG8dDg2lZ3
2bjBxF/QDtVAhvBFrlTgKc7SzVvvKzMpIE96HDdu5Y9bM+hvS6lYpF5wLFlZNUsUaprOKPOVlHew
sG2lGZYRNGy2PNJJo6zHJg2abQ/nPEO3HXReAF+xxgGoaBMK66j4rFtBvI4d5UZjg17lEno9LIna
iYFp3MoMK/Pahly6rqXaucnlwjzHYFWeYfpB/JxaG9lHt5LxCm5j56tEd+gYiyIiBvvkAhNXaVbW
Lb5hklT18y4uinrWuwFegFJWrYfcTT9w+8U0jyrli8e+NxsdK7zpKetOLWLbzkDywjvkI2TyjEJU
G43Z3dj00gmTF38zS+TreqV7a49Jd5OGZTxvsj64xjUmv/TbmJgcGNSkHuo6ZMOq0vFJxES65sJo
VDOP5q419bD7w32Z7Re+sx5rx1bfaVeDWdp0JzNT2eZElC+KAF8+h72dTD74WP+0QJ48w4DIfrMX
4zi0LXfsxPzWjzsxO6kQqj56grFJf1f5KUcOpTSEJkG0J8Xmb8TAoW8itltI9s8hNN8RA/sIxaAI
/sB8TDiRqX+yE79FDAwYfGhJ0BmqsoFsn8/3I2raqlQ3heQMF5wX1QKaWDqvdLmKAIUxDz3BprEn
e601JAmj3jQ/67rmWk6MpWFHiGdKvPICXzZO+5QKvQ1V1FWVfswZIk/jQasWqlKDLcI0X/XklV6p
OsIilFPwTgfPWFZhduuMSjiVDPk+LSjtFX+8SgI0Ym6HV4UEt3mieQhj7bidplkrqnMrmgZZN04U
2+NmRzz2NE3Uq0iT4nWbdA1OEMZcLn1jJVn0YykAq7XCDo2xk5ka0yCPPgCdbLuouMY87zRPsEIs
ZVNah5TddNHjeDrWTn4hN2AYqggs4ymuEp1h4dJxbcb7sU/jmds5ZzKufjgfxoTStldyNH5KmvzG
CYsTGvxfZAkafJ7wYcdOneKceqob4kwjHmzM7YfRQVQ0DFExtdX2ZLDIeSNnrphKDdCjb/YLB0vL
iEOEbSxbuFk1t6TiLFXz2zDAScrSchdn+aScd8bwdQzUcyWABNtRBAe+F0/pohb2ZaXZ0rCUGuFa
6fN+yMYJuC1xYVHw5cgzlDX9Ao33UqVWbhQHNeK4HW2OJsNqT9LeIL67JO21qjBXShtQGT1B5gBu
lK8cD7lhp+qf84bQTEnzZoWez9texWdy2Lpwn9F0kpjnesKYGidLL5tZEQ4htT5mC0Wu4zM7JiGm
HEza6CSd52FOS2fc2EVFug/dryl+JVih6RUWH2a2binDwzC7auREnphm3uFpEi7wrDBigr3Q+i8b
xbzqO+8zfi3OpE6qE6+sY8zVqNNtivKJTZoh8INXz6xhlFdWnAbzLIHElglSZ1A4n3KXJJHEK/Cv
NE/czkZSUUBCrY1gIw+jSAzLNlbPFY20pQCAzB1X4D36rCMHfZ57Oh51aoNFizLmtEnIw/Fq79py
ATywbFJXyGrOajfrp00qzL/6UZoEhUVfQddPYqm7MhX/LoVhMkn7xJ5jhHCamOqKEAU8oTyH+Peq
msWSSnfMxyXPY0dHIFSDfmCHCV/1IiMJgVsTcu4uum/C5nOYaF/zAb2pTr8NXviWTQoXXQ9jbcjU
LTrXOSlBJaKOtD11hupSy7WHUIfWXeX+SqMQ6ELnvFfT6yCNw2lijHdxUcuTCuerhW2E4SIX98ba
RWKZFVeUSfEkDKNtOKJdHVR3OTacUGosmZNKr0h38ILrzPc6FnUQzwl4/Jx22WcSDpDYt/qmlMMv
ZNFixVJDVc8zYnqDjFyHzP4UltIJer1jHA3kudwbc9PPj93MwEU2a6ZkD8DYdaQ73NapqLLTrEwA
1KCLTnzPuq1H+PSRpzmrNie0oErIhOqIuUMy4egXapTh01DQ7Xj451h8PBYFR+HXx+LHrb9JdiAD
4rd+OBY1zh1D54TjIBPZbN+PRYEMoKciUUDGvBsZ+wuQzi1EN1SsLQEMcMx8hN9fgHQHgy3E9OIC
Y/FLXGv+4IJiKIKN8yOQzgcz8XLmvdDYmOKU/elYTGPuLjEf46J1/KiahZp24xkypsapdNzE3lxh
F5saopXgts267wZlkiWqOVda57g2InOa0+NfeCFaQykrlk3IdEwV8OXMTOZhk997as+UpYrvXTDS
rJFmmtR8qhBCfhiwtl6apeme+vpgci5ZM7NAqp4jhDnjICdx2lOh2lrK19qtvsngrCviSFnXoUKY
eFZFc3pDHwalv6IfYV4V5BRMvagj/ypOobJwjQEIowfhgSOi8mKzhL09t/toEXqNRISx5c7DJCDM
uQkeFGyxOfNaXKdqvO9WJpHDnMKjO6k1lA2RmyoXrkqyat+k/DvfSVcW4tdJztuPAdBpaWEyAnRR
0sZ2EM5romOidWex5V6EmX/cp+qqLjnT6lTd1OjITkyPhZ/VrUF/I/yQGRWgX3bSSjLMKFNDN5Ow
ykcfpX/ZkKPV0HgpSYmZY5l7k4/VtVOWOA/K9tooxsuyi4YZkNJnrbDuszI7L6BjTErFP8ZI7dKo
3Y9eizS4owxo8RYvc30tN86ZQUjBjNAGE9Nq3VqisLsNu/gYf+67Pqyxr3Kkb71no6erQefj9ouR
Ots8tYq1ohM8Gqa1zanFsLQxdxXN9/zTIMClPEJ2+0VNs0t7CD9FspXgQgzll1SZfi5BTJgjrRon
Y1V9BpO/s00QAF3N5hGC5cngBf4UvOpTpmG+nsgxhjcg+rNK7j9m/Onjx7Zw0BJckY4ErprEYk89
vbnMRR8Z8Jb4NlrLel7ftrSaEy+FmKEpD7noQuNhJkzcVWyE6FDjk9MuTNG1Rifs8faYJzdgsigP
RXs7EJ3uXNfWkuh9e3YSTjU7YyHQGB9okOs0yjXRMXdwZp8rYRXNGrP61qW0lCp5SKas/Xyai657
MBKy6rvOhNswcr6ANeL2GfHwol/vKsWU65iGErRdei09fd/uLzSa/CrNfp+mvxnZawkQoFHXWFS7
3ZnDM3GWuM4FXmACHESJ+dlykgsQHY4ELRxmLiBDhDQII4Ftlda3iPnkWdZzbmZh7swryymnmVNT
Q4TpIovyM4xalpWU3FTAGlHhndZJnqwUAI8Amy0VAERvOuRQAhMp+/4iiVVMQOX4zgc/MUxu5Kbc
WeuwsE5VJzkPwFpiAbrYAn7Jogh/egHJeD7gDAhNsG7Aa1RwGwX8JhZAji0gHRNsR7eMz01ZXagC
9PGjzJn1AghC0YX7ggCHOO7wMmrqpadjMEfYVz+VwJI60/2Mb31KViEg5wjeNArgic4dRHyKpBxc
yh3LbSGAKnWMuV476koWIJYv4CyHYZ22IFwqSFfdEdCnCfCLNFcdbVtpriKQMShTJzpIWeD7FlZM
gGcxKJoMmjaa2kcXTAtPBIC2Ai3YBJ+1DxgZcjmmf+9p6ZUq4DkFnM50mmUtgLsitV20NmQegem5
YHutX53Jj2Bfbh8HAv5zreQqBg/srUA69kEIAwEVwvk4NsEOW5F0W1OSTsOCut5Mu2geC7BxlP0z
7Mqgg1CNzaQy/uaN7sci50YxKCJxRMCWvR8+lDkdoIzekyygTV2AnKmAOztPGlc1CKglerRjMV4N
AhyVBEwaQYXotWDeCPwUHBU3j3ah5+WxYZMulSq+Ny0E7Kp1EChiMzMWbjLcJmCzZDFuqDeDZS9g
Wxv8lmLoRgXPHa2MX1UxyWv1RQniSyzCCfSfVVi5OGswiWgwYJFsgBMPlnI/ghsbHnt2D5JMIsS8
UMotMOBZDdKMPnZuCei5GsjmA4vOMN3D1g79Kyi1G1Eag1rLXr3QWyYBLm7s3PmENos9MwTU3Q/W
xxzse9SNbVSzUQaamc3bWDjdccepQcwVDXivr5yL0qGlrYKqQ7+pKNkxhLZEN7hVoX855VWJlBN/
pRF3w8HbcHaW8yzwGzRZQzaHiWde2LZkL+k9qcuyKm+DSLk2UpJ2SL2+Uaz6LkQbPynZFyDIgAPj
sI74qFfAw+2vGoqqZemUCz7f1zLEbTG1s4fKRbjrhJhepBBFztMoNEg+Ly458/Ac5GddjkGJQ1h5
DetKw4QZv/3mwRWh5LJVPGhkeoShU01dyY24E7hnSm42E90bkOVk+Cp7Pe7PbkiGAqusmLq2gSRB
ZpXlAdB4kC2yxlsNZHCSI/1Vg2sDKyC9HrLRx6wy/BJZWExQN2t4Xi5JE11SR/A3cNtrxciVadEW
1vEoWeu8Fmb/qY47BaUR2evjAKSpVBfkbsy8IfmGIivDprm76DGeoGj3TmUtwKmizr/ZUgqgpDt3
nQjfkAqUzl5qkp+EyUqOtY2MXdlVaadn7OaV457prb/0A9xnsUwA1cDIzCnOsxhPDnNSBrLn4d5R
4J2NaLnwn/jq/x8wbJ4/4s6cv++2rOKnlxn+Mh+z+eukwP/Tf/RSqe5+0B8FB8pUyz9V5o8f7DG6
8LfPiTeEOTUPRBNqzhHeGTiFKbBVxYvSN85oyD79WFJUARPYVEzPQMUPY/SrUfj9F/ywrV5lKr59
zm8//GvGrvy6a/fvDAL2V5xXKpSl19+evhyIxjOZ+NC+vTB723sKWEdEB8BTNkl2Ey9uR68HQcW8
iwjJx7c6tDEwZI025p7LQD2yuAgYjxYLP315xTrCcNBWbNCzx9ehjsFr+t6frwLzyDYgutO8fvqm
zKyfhgJ+H05zMgYuLBPG+z88EX7sxBt85H9jDvAF/94JrSPRoAAJJSVVvGjQ//T1ofxD9EAGD/Xr
kGfCG93DvzMTNGLU4Ab+eihUh26JIqTD//mZwL70+lAQqos9twSNHhOpKkDqT39unvjzfGDfhGRK
RiYz5SAHQX7duPvzmWAfQRwg+sr41SDQieMFlvRUivyH94QdM0HmONtzJgDCqY6J+9PzvvhmY5SZ
KmKuGAKpe9w5DnM+PE3UJxeJ7+XnH5WLpCxSCMg4hb5aDYQ2WtyHHRbEYY/BUxGzzxgg/eKQ1OGT
794YOCcNThIFTPdQN4b9Cyb7CLKbA6mImS9er3dH7g0K8Rh4vD3txAe4MexfMdlH4PmqAgbxOOff
Xp7kI5gdXK8Oo2LatTs+lXJ7LAcEHBZ205YqpoN4vbk+6FwxdY3rw9PSO8CZsH+xgOgTQacB8Pg0
CK+PCIpHIrP5R2jnD/JwEFYqe56T+pHwSeCqRCaOeLHAXldMqgMbRPgaHuQYKHsXTICWjxaX+ttW
AqNjKkiG4UI+vg51DPYvErhMc5E26CX/Yh4YRwZrBRz2sOslAUbvuSSoFUyZ/CS0bY+v10uCsokf
QsC1n/pvh1oxKPuXTbQXCOZWZeu5bHqzRYrT1DHhtxxqxSD8X/acD/bRc/Lnc8XwZj48NqJMXRcF
9kHukSKpfc9BwFaBXpsuSIi7F4VypDpEITjOgS+Kp3Nsj+JJYyjwVLToYT4dCjvKaIgvkGZEgX2Q
80HZv4w2jjBSEvepp+NgV+dNXDYUVLsHOgjG3oemKBz4fkwF82kmvCmjVfjDgBRANQc6CMr+x6V5
xBiANei/aEGLHiw/42Z9qDPhub7fZ08gKYbSyZLppTy+OHp/KqO5WmMioyBlP4g+/I5bpbL/rRLy
H01HEbv59HpzUHK15scigvtAl8ObBPI/775afEfirw3zVzNBAZwlVgdb/QMdhOcde7/lQPKXUI89
I9RvZgKDoIjIK+dgl8PTFN1nEPQj2VBRY79sjK/rBMU+EvNAt9g3xOtgz4inibrPUJhH9NwA5Cma
Xr7qz9ujDKOY1iMw3YEuCm3v7ZG6Ec6kbAnG8tPr7RlBdY1psnaogyBMcve+R/BXZh5g3LJzJlAt
ILeybJWz9PF1oPPhDcH+j08KqkeaKUQLIiN7+ao/Lwr1iC40yL1AdXkd6v7wDJnssz84R4roMFjW
c/eJr/rzUGj0oy0y7kSn+iCvVEKKvffSEIcBFeTz/vD6vACjEvg9p+ah9qOf0YJ9ZoJ1pMmmY9Jc
e1oTbwaBIhNFJmfmU3fuUBeFUO3vOR8MrLRUkzKJU+N5/f+8KCinuX2DWR7sebF3nwGkSnce3TKf
r9gcw68Hga4UheRzT+PwkCp1/ys2hSJsje9r4g1cx6FJECh+Dc+8ygMchP3Ra5PEVRPlmPyrNqxy
hHElcrWD5TwKfGnPPYGZIEJZaaY87QlvLlbUDNyw8Yk5VOD2+fDa44wQ6LVGmay+kF/Z/n7eE9Qj
kws4NilP+88BLoenHXuPQdDsI9a7IDA98/3ezASu2MKxWFa/V5eHWTjtf0bI+DoLmar2K0qHegQb
WMbX+VC7DcL3cs+dgXuTZiKxwc7z8UWh/POiwCCIyYKf0KFWj8/E1H0WBdAMUdU6MNQvSyaAXQW7
00PdGYRh+Z4zQWMQZKLqn5GZt9AMNTbsJ/rxh1o3avsj1zZ7AjRYaudfLAdRWIp/ALGei+uD3B5F
dtue8wE+MBYyoih4vSVwkCI7I3vwYG9R+5+TFvdFqG5se7+YCFRMOPswPoc6CPr+h4N+RGdRINK/
aDUJjM6xaTYhGnt8PU66w6ubjP0raNFqUuAxcVl6fL1B6mACg9LZFBSHOgj7Xyihd0Jg0uRfMYHF
hZJQadIqntoYhzcT9P2PCEAJi/aqTHb24+tNqwkZJbdqFDWHWjY+U5T3qZhEa4FLhLhXP77YBH8u
GxkE3YHpdrB0aH3/M4I9QcMpjFv1L2YCrQUxTH8EV/4f1sx37fHUD+KHR2kyfhaP4o4nye2//A9e
dLtvH/CDvOpRaffTf/lxyLdPz34SYYn//z+bhyRIZ0FVl8F9rT5KBX/46Yt08PGdnn//+Su+ffOf
3uzle738y1WwLTflvT88/mB4/qDnmwRt8//G/M/D5rU4TIADL/9OvPd//9fPH/aHGun3T0e+v315
0Prhv//rydBViK7+/qr/7sOTzUNWvjzoh4ezpPZ++EQYGb4854dnswvu/ezpJt60/Emql2f98HzO
wP2fn8VN9eZPChLMOfYOD0/rcvPXNNsZdSFK3r3fYraN/zrPyp3jz8mw9/Pn8V+zrGTyvDzrh/Hn
Fr/38xclHjm7Hs6Bt/fDl/E2TV+e88MHf4/lumqSr1n8UL99vCD97/3R10m+LYNN/PKovz+98h5L
dp0OOwZdkLL3/uQn23LHmAsEZP9HB6m3YyMQPMG9n326iXbsYYJ99w6PrqrtrjF5jwV6mlV//W/q
bePtrpF5jyV6tnlgA34Zhx8m4nss0bNNGewamvdYouLZebZrdxdckb3/rGfb9CG7D3btXoJ18A7P
L++3Dy8P+nvcBZC9/8MzPvvLc3549nss07Ns55i8xyrl0Xgmb4cdn/w9Vur5Jt8x0UVnfu8BP9+2
m7e1I0kU77FEL8oNW8DLp/zhz/keS/Qy3tzv8qkWyP7ew3IZN8mu4k6ADns//ENA6VgFDztGRrSy
937+9ea+5EqQ1jvOUtEmfoc3SP+abIkC3PUG77FUrzfiDcp0Uz7s3MiEiPNdvsUs2Hq7vsR7rFrx
JRasgPugut/1Hu+xfMV7HGebotl1WgkJ07uM0mkTVH9dfA2qfNf3eI/FLL7H2abe7nr+e6xnnl9v
/ppsyq+bXTWDaBe/x0jxHlPydnds1qJT/l7vUDbjy8P+3lNFc2//N/hd/OGjC9wenYRrehg7h+Zd
FvPvE2T2/uxZvNlVPYgO3/6jTmGyy1pa6DD3f3i9SYMq3jQ76nAh3dj/DX6XF7HvuP/WdXvvh1Pj
B/WOok3I3PYel98mb+/90RsaRMmuvpxgBOz92T/xhGbXWjXeY63eEYL28iH/3sAEarv3B79rvu7Y
fAUE9i8evast+9367W2z9sXdcdev/dyLFv/FfbzdlP/z/wAAAP//</cx:binary>
              </cx:geoCache>
            </cx:geography>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png"/><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2.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0</xdr:colOff>
      <xdr:row>10</xdr:row>
      <xdr:rowOff>0</xdr:rowOff>
    </xdr:from>
    <xdr:to>
      <xdr:col>9</xdr:col>
      <xdr:colOff>533400</xdr:colOff>
      <xdr:row>25</xdr:row>
      <xdr:rowOff>0</xdr:rowOff>
    </xdr:to>
    <xdr:graphicFrame macro="">
      <xdr:nvGraphicFramePr>
        <xdr:cNvPr id="3" name="Chart 2">
          <a:extLst>
            <a:ext uri="{FF2B5EF4-FFF2-40B4-BE49-F238E27FC236}">
              <a16:creationId xmlns:a16="http://schemas.microsoft.com/office/drawing/2014/main" id="{276300EC-7FA6-4B44-A0BF-3B8E7AC53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41</xdr:row>
      <xdr:rowOff>172528</xdr:rowOff>
    </xdr:to>
    <xdr:sp macro="" textlink="">
      <xdr:nvSpPr>
        <xdr:cNvPr id="7" name="Rectangle 6">
          <a:extLst>
            <a:ext uri="{FF2B5EF4-FFF2-40B4-BE49-F238E27FC236}">
              <a16:creationId xmlns:a16="http://schemas.microsoft.com/office/drawing/2014/main" id="{4A6567FE-0991-6DC3-76D0-B73E9636A718}"/>
            </a:ext>
          </a:extLst>
        </xdr:cNvPr>
        <xdr:cNvSpPr/>
      </xdr:nvSpPr>
      <xdr:spPr>
        <a:xfrm>
          <a:off x="0" y="0"/>
          <a:ext cx="1840302" cy="7835660"/>
        </a:xfrm>
        <a:prstGeom prst="rect">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p>
        <a:p>
          <a:pPr algn="l"/>
          <a:endParaRPr lang="en-US" sz="1100"/>
        </a:p>
      </xdr:txBody>
    </xdr:sp>
    <xdr:clientData/>
  </xdr:twoCellAnchor>
  <xdr:twoCellAnchor>
    <xdr:from>
      <xdr:col>3</xdr:col>
      <xdr:colOff>27540</xdr:colOff>
      <xdr:row>0</xdr:row>
      <xdr:rowOff>0</xdr:rowOff>
    </xdr:from>
    <xdr:to>
      <xdr:col>28</xdr:col>
      <xdr:colOff>86264</xdr:colOff>
      <xdr:row>42</xdr:row>
      <xdr:rowOff>0</xdr:rowOff>
    </xdr:to>
    <xdr:sp macro="" textlink="">
      <xdr:nvSpPr>
        <xdr:cNvPr id="8" name="Rectangle 7">
          <a:extLst>
            <a:ext uri="{FF2B5EF4-FFF2-40B4-BE49-F238E27FC236}">
              <a16:creationId xmlns:a16="http://schemas.microsoft.com/office/drawing/2014/main" id="{FC9E96FE-C809-4A0A-8F3C-107F44E0066D}"/>
            </a:ext>
          </a:extLst>
        </xdr:cNvPr>
        <xdr:cNvSpPr/>
      </xdr:nvSpPr>
      <xdr:spPr>
        <a:xfrm>
          <a:off x="1867842" y="0"/>
          <a:ext cx="15154950" cy="7850038"/>
        </a:xfrm>
        <a:prstGeom prst="rect">
          <a:avLst/>
        </a:prstGeom>
        <a:solidFill>
          <a:schemeClr val="tx2">
            <a:lumMod val="50000"/>
            <a:lumOff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70338</xdr:colOff>
      <xdr:row>3</xdr:row>
      <xdr:rowOff>19689</xdr:rowOff>
    </xdr:from>
    <xdr:to>
      <xdr:col>1</xdr:col>
      <xdr:colOff>1217928</xdr:colOff>
      <xdr:row>6</xdr:row>
      <xdr:rowOff>10509</xdr:rowOff>
    </xdr:to>
    <xdr:sp macro="" textlink="pivots!G4">
      <xdr:nvSpPr>
        <xdr:cNvPr id="9" name="TextBox 8">
          <a:extLst>
            <a:ext uri="{FF2B5EF4-FFF2-40B4-BE49-F238E27FC236}">
              <a16:creationId xmlns:a16="http://schemas.microsoft.com/office/drawing/2014/main" id="{0BB9E27F-4BD9-F77F-9505-2EDA4609B42D}"/>
            </a:ext>
          </a:extLst>
        </xdr:cNvPr>
        <xdr:cNvSpPr txBox="1"/>
      </xdr:nvSpPr>
      <xdr:spPr>
        <a:xfrm>
          <a:off x="70338" y="582397"/>
          <a:ext cx="1382052" cy="553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364BB7-890F-407B-B6A2-FDA5537B6C06}" type="TxLink">
            <a:rPr lang="en-US" sz="2000" b="0" i="0" u="none" strike="noStrike" cap="none" spc="0">
              <a:ln>
                <a:noFill/>
              </a:ln>
              <a:gradFill>
                <a:gsLst>
                  <a:gs pos="27000">
                    <a:schemeClr val="bg1">
                      <a:lumMod val="50000"/>
                    </a:schemeClr>
                  </a:gs>
                  <a:gs pos="80000">
                    <a:schemeClr val="bg1"/>
                  </a:gs>
                </a:gsLst>
                <a:lin ang="5400000" scaled="1"/>
              </a:gradFill>
              <a:effectLst>
                <a:outerShdw blurRad="50800" dist="38100" dir="5400000" algn="t" rotWithShape="0">
                  <a:prstClr val="black">
                    <a:alpha val="40000"/>
                  </a:prstClr>
                </a:outerShdw>
              </a:effectLst>
              <a:latin typeface="Aptos Narrow"/>
            </a:rPr>
            <a:pPr/>
            <a:t>2,400</a:t>
          </a:fld>
          <a:endParaRPr lang="en-US" sz="2000" b="0" cap="none" spc="0">
            <a:ln>
              <a:noFill/>
            </a:ln>
            <a:gradFill>
              <a:gsLst>
                <a:gs pos="27000">
                  <a:schemeClr val="bg1">
                    <a:lumMod val="50000"/>
                  </a:schemeClr>
                </a:gs>
                <a:gs pos="80000">
                  <a:schemeClr val="bg1"/>
                </a:gs>
              </a:gsLst>
              <a:lin ang="5400000" scaled="1"/>
            </a:gradFill>
            <a:effectLst>
              <a:outerShdw blurRad="50800" dist="38100" dir="5400000" algn="t" rotWithShape="0">
                <a:prstClr val="black">
                  <a:alpha val="40000"/>
                </a:prstClr>
              </a:outerShdw>
            </a:effectLst>
          </a:endParaRPr>
        </a:p>
      </xdr:txBody>
    </xdr:sp>
    <xdr:clientData/>
  </xdr:twoCellAnchor>
  <xdr:twoCellAnchor>
    <xdr:from>
      <xdr:col>0</xdr:col>
      <xdr:colOff>0</xdr:colOff>
      <xdr:row>6</xdr:row>
      <xdr:rowOff>130596</xdr:rowOff>
    </xdr:from>
    <xdr:to>
      <xdr:col>1</xdr:col>
      <xdr:colOff>1147590</xdr:colOff>
      <xdr:row>9</xdr:row>
      <xdr:rowOff>121415</xdr:rowOff>
    </xdr:to>
    <xdr:sp macro="" textlink="pivots!H4">
      <xdr:nvSpPr>
        <xdr:cNvPr id="4" name="TextBox 3">
          <a:extLst>
            <a:ext uri="{FF2B5EF4-FFF2-40B4-BE49-F238E27FC236}">
              <a16:creationId xmlns:a16="http://schemas.microsoft.com/office/drawing/2014/main" id="{DCE9A435-FF14-466F-BD4D-F0E51E42AD33}"/>
            </a:ext>
          </a:extLst>
        </xdr:cNvPr>
        <xdr:cNvSpPr txBox="1"/>
      </xdr:nvSpPr>
      <xdr:spPr>
        <a:xfrm>
          <a:off x="0" y="1232283"/>
          <a:ext cx="1377108" cy="541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C5EE916-58C5-49C3-83E9-9D9008A220F1}" type="TxLink">
            <a:rPr lang="en-US" sz="2000" b="0" i="0" u="none" strike="noStrike" cap="none" spc="0">
              <a:ln>
                <a:noFill/>
              </a:ln>
              <a:gradFill>
                <a:gsLst>
                  <a:gs pos="27000">
                    <a:schemeClr val="bg1">
                      <a:lumMod val="50000"/>
                    </a:schemeClr>
                  </a:gs>
                  <a:gs pos="80000">
                    <a:schemeClr val="bg1"/>
                  </a:gs>
                </a:gsLst>
                <a:lin ang="5400000" scaled="1"/>
              </a:gradFill>
              <a:effectLst>
                <a:outerShdw blurRad="50800" dist="38100" dir="5400000" algn="t" rotWithShape="0">
                  <a:prstClr val="black">
                    <a:alpha val="40000"/>
                  </a:prstClr>
                </a:outerShdw>
              </a:effectLst>
              <a:latin typeface="Aptos Narrow"/>
              <a:ea typeface="+mn-ea"/>
              <a:cs typeface="+mn-cs"/>
            </a:rPr>
            <a:pPr marL="0" indent="0"/>
            <a:t>11,997</a:t>
          </a:fld>
          <a:endParaRPr lang="en-US" sz="2000" b="0" i="0" u="none" strike="noStrike" cap="none" spc="0">
            <a:ln>
              <a:noFill/>
            </a:ln>
            <a:gradFill>
              <a:gsLst>
                <a:gs pos="27000">
                  <a:schemeClr val="bg1">
                    <a:lumMod val="50000"/>
                  </a:schemeClr>
                </a:gs>
                <a:gs pos="80000">
                  <a:schemeClr val="bg1"/>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10</xdr:row>
      <xdr:rowOff>115135</xdr:rowOff>
    </xdr:from>
    <xdr:to>
      <xdr:col>1</xdr:col>
      <xdr:colOff>1147590</xdr:colOff>
      <xdr:row>13</xdr:row>
      <xdr:rowOff>105954</xdr:rowOff>
    </xdr:to>
    <xdr:sp macro="" textlink="pivots!I4">
      <xdr:nvSpPr>
        <xdr:cNvPr id="5" name="TextBox 4">
          <a:extLst>
            <a:ext uri="{FF2B5EF4-FFF2-40B4-BE49-F238E27FC236}">
              <a16:creationId xmlns:a16="http://schemas.microsoft.com/office/drawing/2014/main" id="{F5ADC2D5-7BBA-4971-A154-1A5359CB828A}"/>
            </a:ext>
          </a:extLst>
        </xdr:cNvPr>
        <xdr:cNvSpPr txBox="1"/>
      </xdr:nvSpPr>
      <xdr:spPr>
        <a:xfrm>
          <a:off x="0" y="1990827"/>
          <a:ext cx="1382052" cy="553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47B276-4E24-471D-9278-BED52575A9BF}" type="TxLink">
            <a:rPr lang="en-US" sz="2000" b="0" i="0" u="none" strike="noStrike" cap="none" spc="0">
              <a:ln>
                <a:noFill/>
              </a:ln>
              <a:gradFill>
                <a:gsLst>
                  <a:gs pos="11000">
                    <a:srgbClr val="FFFF00"/>
                  </a:gs>
                  <a:gs pos="80000">
                    <a:srgbClr val="FFC000"/>
                  </a:gs>
                </a:gsLst>
                <a:lin ang="5400000" scaled="1"/>
              </a:gradFill>
              <a:effectLst>
                <a:outerShdw blurRad="50800" dist="38100" dir="5400000" algn="t" rotWithShape="0">
                  <a:prstClr val="black">
                    <a:alpha val="40000"/>
                  </a:prstClr>
                </a:outerShdw>
              </a:effectLst>
              <a:latin typeface="Aptos Narrow"/>
              <a:ea typeface="+mn-ea"/>
              <a:cs typeface="+mn-cs"/>
            </a:rPr>
            <a:pPr marL="0" indent="0"/>
            <a:t>$649.0k</a:t>
          </a:fld>
          <a:endParaRPr lang="en-US" sz="2000" b="0" i="0" u="none" strike="noStrike" cap="none" spc="0">
            <a:ln>
              <a:noFill/>
            </a:ln>
            <a:gradFill>
              <a:gsLst>
                <a:gs pos="11000">
                  <a:srgbClr val="FFFF00"/>
                </a:gs>
                <a:gs pos="80000">
                  <a:srgbClr val="FFC000"/>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14</xdr:row>
      <xdr:rowOff>99675</xdr:rowOff>
    </xdr:from>
    <xdr:to>
      <xdr:col>1</xdr:col>
      <xdr:colOff>1147590</xdr:colOff>
      <xdr:row>17</xdr:row>
      <xdr:rowOff>90493</xdr:rowOff>
    </xdr:to>
    <xdr:sp macro="" textlink="pivots!J4">
      <xdr:nvSpPr>
        <xdr:cNvPr id="6" name="TextBox 5">
          <a:extLst>
            <a:ext uri="{FF2B5EF4-FFF2-40B4-BE49-F238E27FC236}">
              <a16:creationId xmlns:a16="http://schemas.microsoft.com/office/drawing/2014/main" id="{0201FC50-CC64-44B9-AFF4-52908BF2E69C}"/>
            </a:ext>
          </a:extLst>
        </xdr:cNvPr>
        <xdr:cNvSpPr txBox="1"/>
      </xdr:nvSpPr>
      <xdr:spPr>
        <a:xfrm>
          <a:off x="0" y="2670277"/>
          <a:ext cx="1377108" cy="541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4CDFA8C-30B1-4CAF-8E6B-1FB7B60C64FB}" type="TxLink">
            <a:rPr lang="en-US" sz="2000" b="0" i="0" u="none" strike="noStrike" cap="none" spc="0">
              <a:ln>
                <a:noFill/>
              </a:ln>
              <a:gradFill>
                <a:gsLst>
                  <a:gs pos="27000">
                    <a:schemeClr val="bg1">
                      <a:lumMod val="50000"/>
                    </a:schemeClr>
                  </a:gs>
                  <a:gs pos="80000">
                    <a:schemeClr val="bg1"/>
                  </a:gs>
                </a:gsLst>
                <a:lin ang="5400000" scaled="1"/>
              </a:gradFill>
              <a:effectLst>
                <a:outerShdw blurRad="50800" dist="38100" dir="5400000" algn="t" rotWithShape="0">
                  <a:prstClr val="black">
                    <a:alpha val="40000"/>
                  </a:prstClr>
                </a:outerShdw>
              </a:effectLst>
              <a:latin typeface="Aptos Narrow"/>
              <a:ea typeface="+mn-ea"/>
              <a:cs typeface="+mn-cs"/>
            </a:rPr>
            <a:pPr marL="0" indent="0"/>
            <a:t>4.0</a:t>
          </a:fld>
          <a:endParaRPr lang="en-US" sz="2000" b="0" i="0" u="none" strike="noStrike" cap="none" spc="0">
            <a:ln>
              <a:noFill/>
            </a:ln>
            <a:gradFill>
              <a:gsLst>
                <a:gs pos="27000">
                  <a:schemeClr val="bg1">
                    <a:lumMod val="50000"/>
                  </a:schemeClr>
                </a:gs>
                <a:gs pos="80000">
                  <a:schemeClr val="bg1"/>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18</xdr:row>
      <xdr:rowOff>183614</xdr:rowOff>
    </xdr:from>
    <xdr:to>
      <xdr:col>1</xdr:col>
      <xdr:colOff>760163</xdr:colOff>
      <xdr:row>21</xdr:row>
      <xdr:rowOff>100988</xdr:rowOff>
    </xdr:to>
    <xdr:sp macro="" textlink="pivots!K4">
      <xdr:nvSpPr>
        <xdr:cNvPr id="10" name="TextBox 9">
          <a:extLst>
            <a:ext uri="{FF2B5EF4-FFF2-40B4-BE49-F238E27FC236}">
              <a16:creationId xmlns:a16="http://schemas.microsoft.com/office/drawing/2014/main" id="{5DD60DA6-EA31-4889-94BF-92544686B4B4}"/>
            </a:ext>
          </a:extLst>
        </xdr:cNvPr>
        <xdr:cNvSpPr txBox="1"/>
      </xdr:nvSpPr>
      <xdr:spPr>
        <a:xfrm>
          <a:off x="0" y="3547916"/>
          <a:ext cx="990201" cy="478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1B0903-B4A2-432C-A888-51B3C1822187}" type="TxLink">
            <a:rPr lang="en-US" sz="2000" b="0" i="0" u="none" strike="noStrike" cap="none" spc="0">
              <a:ln>
                <a:noFill/>
              </a:ln>
              <a:gradFill>
                <a:gsLst>
                  <a:gs pos="27000">
                    <a:schemeClr val="bg1">
                      <a:lumMod val="50000"/>
                    </a:schemeClr>
                  </a:gs>
                  <a:gs pos="80000">
                    <a:schemeClr val="bg1"/>
                  </a:gs>
                </a:gsLst>
                <a:lin ang="5400000" scaled="1"/>
              </a:gradFill>
              <a:effectLst>
                <a:outerShdw blurRad="50800" dist="38100" dir="5400000" algn="t" rotWithShape="0">
                  <a:prstClr val="black">
                    <a:alpha val="40000"/>
                  </a:prstClr>
                </a:outerShdw>
              </a:effectLst>
              <a:latin typeface="Aptos Narrow"/>
              <a:ea typeface="+mn-ea"/>
              <a:cs typeface="+mn-cs"/>
            </a:rPr>
            <a:pPr marL="0" indent="0"/>
            <a:t>2.3</a:t>
          </a:fld>
          <a:endParaRPr lang="en-US" sz="2000" b="0" i="0" u="none" strike="noStrike" cap="none" spc="0">
            <a:ln>
              <a:noFill/>
            </a:ln>
            <a:gradFill>
              <a:gsLst>
                <a:gs pos="27000">
                  <a:schemeClr val="bg1">
                    <a:lumMod val="50000"/>
                  </a:schemeClr>
                </a:gs>
                <a:gs pos="80000">
                  <a:schemeClr val="bg1"/>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oneCellAnchor>
    <xdr:from>
      <xdr:col>0</xdr:col>
      <xdr:colOff>0</xdr:colOff>
      <xdr:row>1</xdr:row>
      <xdr:rowOff>82628</xdr:rowOff>
    </xdr:from>
    <xdr:ext cx="1174617" cy="368819"/>
    <xdr:sp macro="" textlink="">
      <xdr:nvSpPr>
        <xdr:cNvPr id="11" name="TextBox 10">
          <a:extLst>
            <a:ext uri="{FF2B5EF4-FFF2-40B4-BE49-F238E27FC236}">
              <a16:creationId xmlns:a16="http://schemas.microsoft.com/office/drawing/2014/main" id="{D1772770-2612-D4F6-9A99-F3602EB1D4B4}"/>
            </a:ext>
          </a:extLst>
        </xdr:cNvPr>
        <xdr:cNvSpPr txBox="1"/>
      </xdr:nvSpPr>
      <xdr:spPr>
        <a:xfrm>
          <a:off x="0" y="266242"/>
          <a:ext cx="1174617" cy="3688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bg1"/>
              </a:solidFill>
              <a:latin typeface="+mn-lt"/>
              <a:ea typeface="+mn-ea"/>
              <a:cs typeface="+mn-cs"/>
            </a:rPr>
            <a:t>🛒</a:t>
          </a:r>
          <a:r>
            <a:rPr lang="en-US" sz="1600">
              <a:effectLst/>
            </a:rPr>
            <a:t> </a:t>
          </a:r>
          <a:r>
            <a:rPr lang="en-US" sz="1600">
              <a:solidFill>
                <a:schemeClr val="bg1"/>
              </a:solidFill>
              <a:latin typeface="+mn-lt"/>
              <a:ea typeface="+mn-ea"/>
              <a:cs typeface="+mn-cs"/>
            </a:rPr>
            <a:t>Orders</a:t>
          </a:r>
          <a:r>
            <a:rPr lang="en-US" sz="1600">
              <a:solidFill>
                <a:schemeClr val="bg1"/>
              </a:solidFill>
            </a:rPr>
            <a:t> </a:t>
          </a:r>
          <a:r>
            <a:rPr lang="en-US" sz="1600">
              <a:effectLst/>
            </a:rPr>
            <a:t> </a:t>
          </a:r>
          <a:endParaRPr lang="en-US" sz="1600">
            <a:solidFill>
              <a:schemeClr val="bg1"/>
            </a:solidFill>
          </a:endParaRPr>
        </a:p>
      </xdr:txBody>
    </xdr:sp>
    <xdr:clientData/>
  </xdr:oneCellAnchor>
  <xdr:oneCellAnchor>
    <xdr:from>
      <xdr:col>0</xdr:col>
      <xdr:colOff>0</xdr:colOff>
      <xdr:row>5</xdr:row>
      <xdr:rowOff>67167</xdr:rowOff>
    </xdr:from>
    <xdr:ext cx="1200393" cy="342786"/>
    <xdr:sp macro="" textlink="">
      <xdr:nvSpPr>
        <xdr:cNvPr id="12" name="TextBox 11">
          <a:extLst>
            <a:ext uri="{FF2B5EF4-FFF2-40B4-BE49-F238E27FC236}">
              <a16:creationId xmlns:a16="http://schemas.microsoft.com/office/drawing/2014/main" id="{A7D1BB98-E704-43C5-A55B-7BA4FC4DD687}"/>
            </a:ext>
          </a:extLst>
        </xdr:cNvPr>
        <xdr:cNvSpPr txBox="1"/>
      </xdr:nvSpPr>
      <xdr:spPr>
        <a:xfrm>
          <a:off x="0" y="985239"/>
          <a:ext cx="120039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tx1"/>
              </a:solidFill>
              <a:effectLst/>
              <a:latin typeface="+mn-lt"/>
              <a:ea typeface="+mn-ea"/>
              <a:cs typeface="+mn-cs"/>
            </a:rPr>
            <a:t>👕</a:t>
          </a:r>
          <a:r>
            <a:rPr lang="en-US" sz="1600">
              <a:effectLst/>
            </a:rPr>
            <a:t> </a:t>
          </a:r>
          <a:r>
            <a:rPr lang="en-US" sz="1600">
              <a:solidFill>
                <a:schemeClr val="bg1"/>
              </a:solidFill>
              <a:latin typeface="+mn-lt"/>
              <a:ea typeface="+mn-ea"/>
              <a:cs typeface="+mn-cs"/>
            </a:rPr>
            <a:t>Quantity</a:t>
          </a:r>
          <a:r>
            <a:rPr lang="en-US" sz="1600">
              <a:effectLst/>
            </a:rPr>
            <a:t> </a:t>
          </a:r>
          <a:endParaRPr lang="en-US" sz="1600">
            <a:solidFill>
              <a:schemeClr val="bg1"/>
            </a:solidFill>
          </a:endParaRPr>
        </a:p>
      </xdr:txBody>
    </xdr:sp>
    <xdr:clientData/>
  </xdr:oneCellAnchor>
  <xdr:oneCellAnchor>
    <xdr:from>
      <xdr:col>0</xdr:col>
      <xdr:colOff>0</xdr:colOff>
      <xdr:row>9</xdr:row>
      <xdr:rowOff>25673</xdr:rowOff>
    </xdr:from>
    <xdr:ext cx="1237455" cy="368819"/>
    <xdr:sp macro="" textlink="">
      <xdr:nvSpPr>
        <xdr:cNvPr id="13" name="TextBox 12">
          <a:extLst>
            <a:ext uri="{FF2B5EF4-FFF2-40B4-BE49-F238E27FC236}">
              <a16:creationId xmlns:a16="http://schemas.microsoft.com/office/drawing/2014/main" id="{48765B11-64F8-4E80-982A-E3EED5F2BA0B}"/>
            </a:ext>
          </a:extLst>
        </xdr:cNvPr>
        <xdr:cNvSpPr txBox="1"/>
      </xdr:nvSpPr>
      <xdr:spPr>
        <a:xfrm>
          <a:off x="0" y="1713796"/>
          <a:ext cx="1237455" cy="3688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600">
              <a:solidFill>
                <a:schemeClr val="bg1"/>
              </a:solidFill>
              <a:latin typeface="+mn-lt"/>
              <a:ea typeface="+mn-ea"/>
              <a:cs typeface="+mn-cs"/>
            </a:rPr>
            <a:t>💰  Amount </a:t>
          </a:r>
        </a:p>
      </xdr:txBody>
    </xdr:sp>
    <xdr:clientData/>
  </xdr:oneCellAnchor>
  <xdr:oneCellAnchor>
    <xdr:from>
      <xdr:col>0</xdr:col>
      <xdr:colOff>0</xdr:colOff>
      <xdr:row>13</xdr:row>
      <xdr:rowOff>10212</xdr:rowOff>
    </xdr:from>
    <xdr:ext cx="1399870" cy="368819"/>
    <xdr:sp macro="" textlink="">
      <xdr:nvSpPr>
        <xdr:cNvPr id="14" name="TextBox 13">
          <a:extLst>
            <a:ext uri="{FF2B5EF4-FFF2-40B4-BE49-F238E27FC236}">
              <a16:creationId xmlns:a16="http://schemas.microsoft.com/office/drawing/2014/main" id="{613A16AB-8E5E-4486-A731-7296C166E816}"/>
            </a:ext>
          </a:extLst>
        </xdr:cNvPr>
        <xdr:cNvSpPr txBox="1"/>
      </xdr:nvSpPr>
      <xdr:spPr>
        <a:xfrm>
          <a:off x="0" y="2397200"/>
          <a:ext cx="1399870" cy="3688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bg1"/>
              </a:solidFill>
              <a:latin typeface="+mn-lt"/>
              <a:ea typeface="+mn-ea"/>
              <a:cs typeface="+mn-cs"/>
            </a:rPr>
            <a:t>⭐</a:t>
          </a:r>
          <a:r>
            <a:rPr lang="en-US">
              <a:effectLst/>
            </a:rPr>
            <a:t> </a:t>
          </a:r>
          <a:r>
            <a:rPr lang="en-US" sz="1600">
              <a:solidFill>
                <a:schemeClr val="bg1"/>
              </a:solidFill>
              <a:latin typeface="+mn-lt"/>
              <a:ea typeface="+mn-ea"/>
              <a:cs typeface="+mn-cs"/>
            </a:rPr>
            <a:t>Avg</a:t>
          </a:r>
          <a:r>
            <a:rPr lang="en-US" sz="1100" b="0" i="0" u="none" strike="noStrike" baseline="0">
              <a:solidFill>
                <a:schemeClr val="tx1"/>
              </a:solidFill>
              <a:effectLst/>
              <a:latin typeface="+mn-lt"/>
              <a:ea typeface="+mn-ea"/>
              <a:cs typeface="+mn-cs"/>
            </a:rPr>
            <a:t> </a:t>
          </a:r>
          <a:r>
            <a:rPr lang="en-US" sz="1600">
              <a:solidFill>
                <a:schemeClr val="bg1"/>
              </a:solidFill>
              <a:latin typeface="+mn-lt"/>
              <a:ea typeface="+mn-ea"/>
              <a:cs typeface="+mn-cs"/>
            </a:rPr>
            <a:t>Rating</a:t>
          </a:r>
          <a:r>
            <a:rPr lang="en-US" sz="1100" b="0" i="0" u="none" strike="noStrike" baseline="0">
              <a:solidFill>
                <a:schemeClr val="tx1"/>
              </a:solidFill>
              <a:effectLst/>
              <a:latin typeface="+mn-lt"/>
              <a:ea typeface="+mn-ea"/>
              <a:cs typeface="+mn-cs"/>
            </a:rPr>
            <a:t> </a:t>
          </a:r>
          <a:endParaRPr lang="en-US" sz="1600">
            <a:solidFill>
              <a:schemeClr val="bg1"/>
            </a:solidFill>
          </a:endParaRPr>
        </a:p>
      </xdr:txBody>
    </xdr:sp>
    <xdr:clientData/>
  </xdr:oneCellAnchor>
  <xdr:oneCellAnchor>
    <xdr:from>
      <xdr:col>0</xdr:col>
      <xdr:colOff>0</xdr:colOff>
      <xdr:row>16</xdr:row>
      <xdr:rowOff>178366</xdr:rowOff>
    </xdr:from>
    <xdr:ext cx="1716794" cy="468218"/>
    <xdr:sp macro="" textlink="">
      <xdr:nvSpPr>
        <xdr:cNvPr id="15" name="TextBox 14">
          <a:extLst>
            <a:ext uri="{FF2B5EF4-FFF2-40B4-BE49-F238E27FC236}">
              <a16:creationId xmlns:a16="http://schemas.microsoft.com/office/drawing/2014/main" id="{28E8ECA7-C62D-4CEF-992A-AEF751874AAA}"/>
            </a:ext>
          </a:extLst>
        </xdr:cNvPr>
        <xdr:cNvSpPr txBox="1"/>
      </xdr:nvSpPr>
      <xdr:spPr>
        <a:xfrm>
          <a:off x="0" y="3116197"/>
          <a:ext cx="1716794" cy="468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bg1"/>
              </a:solidFill>
              <a:latin typeface="+mn-lt"/>
              <a:ea typeface="+mn-ea"/>
              <a:cs typeface="+mn-cs"/>
            </a:rPr>
            <a:t>📅</a:t>
          </a:r>
          <a:r>
            <a:rPr lang="en-US">
              <a:effectLst/>
            </a:rPr>
            <a:t> </a:t>
          </a:r>
          <a:r>
            <a:rPr lang="en-US" sz="1600">
              <a:solidFill>
                <a:schemeClr val="bg1"/>
              </a:solidFill>
              <a:latin typeface="+mn-lt"/>
              <a:ea typeface="+mn-ea"/>
              <a:cs typeface="+mn-cs"/>
            </a:rPr>
            <a:t>Day to deliver</a:t>
          </a:r>
        </a:p>
      </xdr:txBody>
    </xdr:sp>
    <xdr:clientData/>
  </xdr:oneCellAnchor>
  <xdr:twoCellAnchor>
    <xdr:from>
      <xdr:col>3</xdr:col>
      <xdr:colOff>186906</xdr:colOff>
      <xdr:row>0</xdr:row>
      <xdr:rowOff>129396</xdr:rowOff>
    </xdr:from>
    <xdr:to>
      <xdr:col>10</xdr:col>
      <xdr:colOff>129397</xdr:colOff>
      <xdr:row>17</xdr:row>
      <xdr:rowOff>143774</xdr:rowOff>
    </xdr:to>
    <xdr:graphicFrame macro="">
      <xdr:nvGraphicFramePr>
        <xdr:cNvPr id="16" name="Chart 15">
          <a:extLst>
            <a:ext uri="{FF2B5EF4-FFF2-40B4-BE49-F238E27FC236}">
              <a16:creationId xmlns:a16="http://schemas.microsoft.com/office/drawing/2014/main" id="{713C43BC-DF78-43E6-B6D0-C83B2B4AF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352851</xdr:colOff>
      <xdr:row>1</xdr:row>
      <xdr:rowOff>-1</xdr:rowOff>
    </xdr:from>
    <xdr:to>
      <xdr:col>17</xdr:col>
      <xdr:colOff>554826</xdr:colOff>
      <xdr:row>18</xdr:row>
      <xdr:rowOff>14376</xdr:rowOff>
    </xdr:to>
    <xdr:sp macro="" textlink="">
      <xdr:nvSpPr>
        <xdr:cNvPr id="20" name="Rectangle 19">
          <a:extLst>
            <a:ext uri="{FF2B5EF4-FFF2-40B4-BE49-F238E27FC236}">
              <a16:creationId xmlns:a16="http://schemas.microsoft.com/office/drawing/2014/main" id="{D65910BB-7B81-12B5-752D-F1267C179929}"/>
            </a:ext>
          </a:extLst>
        </xdr:cNvPr>
        <xdr:cNvSpPr/>
      </xdr:nvSpPr>
      <xdr:spPr>
        <a:xfrm>
          <a:off x="6420096" y="186905"/>
          <a:ext cx="4428919" cy="319177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chemeClr val="tx1"/>
              </a:solidFill>
              <a:effectLst/>
              <a:latin typeface="+mn-lt"/>
              <a:ea typeface="+mn-ea"/>
              <a:cs typeface="+mn-cs"/>
            </a:rPr>
            <a:t>                       How our customers like to buy?</a:t>
          </a:r>
          <a:r>
            <a:rPr lang="en-US" sz="1100" b="0" i="0" u="none" strike="noStrike">
              <a:solidFill>
                <a:schemeClr val="lt1"/>
              </a:solidFill>
              <a:effectLst/>
              <a:latin typeface="+mn-lt"/>
              <a:ea typeface="+mn-ea"/>
              <a:cs typeface="+mn-cs"/>
            </a:rPr>
            <a:t>?</a:t>
          </a:r>
          <a:r>
            <a:rPr lang="en-US">
              <a:effectLst/>
            </a:rPr>
            <a:t> </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10</xdr:col>
          <xdr:colOff>585833</xdr:colOff>
          <xdr:row>3</xdr:row>
          <xdr:rowOff>115019</xdr:rowOff>
        </xdr:from>
        <xdr:to>
          <xdr:col>16</xdr:col>
          <xdr:colOff>585833</xdr:colOff>
          <xdr:row>15</xdr:row>
          <xdr:rowOff>14377</xdr:rowOff>
        </xdr:to>
        <xdr:pic>
          <xdr:nvPicPr>
            <xdr:cNvPr id="26" name="Picture 25">
              <a:extLst>
                <a:ext uri="{FF2B5EF4-FFF2-40B4-BE49-F238E27FC236}">
                  <a16:creationId xmlns:a16="http://schemas.microsoft.com/office/drawing/2014/main" id="{A92A6DFE-E906-A342-D6B5-8F1C93EA0573}"/>
                </a:ext>
              </a:extLst>
            </xdr:cNvPr>
            <xdr:cNvPicPr>
              <a:picLocks noChangeAspect="1" noChangeArrowheads="1"/>
              <a:extLst>
                <a:ext uri="{84589F7E-364E-4C9E-8A38-B11213B215E9}">
                  <a14:cameraTool cellRange="Sheet1!$H$4:$L$9" spid="_x0000_s1043"/>
                </a:ext>
              </a:extLst>
            </xdr:cNvPicPr>
          </xdr:nvPicPr>
          <xdr:blipFill>
            <a:blip xmlns:r="http://schemas.openxmlformats.org/officeDocument/2006/relationships" r:embed="rId2"/>
            <a:srcRect/>
            <a:stretch>
              <a:fillRect/>
            </a:stretch>
          </xdr:blipFill>
          <xdr:spPr bwMode="auto">
            <a:xfrm>
              <a:off x="6653078" y="675736"/>
              <a:ext cx="3623095" cy="214222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0</xdr:colOff>
      <xdr:row>0</xdr:row>
      <xdr:rowOff>0</xdr:rowOff>
    </xdr:from>
    <xdr:to>
      <xdr:col>1</xdr:col>
      <xdr:colOff>1019060</xdr:colOff>
      <xdr:row>1</xdr:row>
      <xdr:rowOff>171441</xdr:rowOff>
    </xdr:to>
    <xdr:pic>
      <xdr:nvPicPr>
        <xdr:cNvPr id="27" name="Picture 26">
          <a:extLst>
            <a:ext uri="{FF2B5EF4-FFF2-40B4-BE49-F238E27FC236}">
              <a16:creationId xmlns:a16="http://schemas.microsoft.com/office/drawing/2014/main" id="{0FFAF5CF-5265-4793-8468-50F9A7FF0B8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0" y="0"/>
          <a:ext cx="1248578" cy="355055"/>
        </a:xfrm>
        <a:prstGeom prst="rect">
          <a:avLst/>
        </a:prstGeom>
      </xdr:spPr>
    </xdr:pic>
    <xdr:clientData/>
  </xdr:twoCellAnchor>
  <xdr:twoCellAnchor>
    <xdr:from>
      <xdr:col>18</xdr:col>
      <xdr:colOff>276254</xdr:colOff>
      <xdr:row>1</xdr:row>
      <xdr:rowOff>153266</xdr:rowOff>
    </xdr:from>
    <xdr:to>
      <xdr:col>26</xdr:col>
      <xdr:colOff>2912</xdr:colOff>
      <xdr:row>16</xdr:row>
      <xdr:rowOff>142249</xdr:rowOff>
    </xdr:to>
    <xdr:graphicFrame macro="">
      <xdr:nvGraphicFramePr>
        <xdr:cNvPr id="28" name="Chart 27">
          <a:extLst>
            <a:ext uri="{FF2B5EF4-FFF2-40B4-BE49-F238E27FC236}">
              <a16:creationId xmlns:a16="http://schemas.microsoft.com/office/drawing/2014/main" id="{29FA64AF-B785-44CB-A19F-471F63C42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255500</xdr:colOff>
      <xdr:row>20</xdr:row>
      <xdr:rowOff>68250</xdr:rowOff>
    </xdr:from>
    <xdr:to>
      <xdr:col>9</xdr:col>
      <xdr:colOff>292224</xdr:colOff>
      <xdr:row>39</xdr:row>
      <xdr:rowOff>73344</xdr:rowOff>
    </xdr:to>
    <xdr:graphicFrame macro="">
      <xdr:nvGraphicFramePr>
        <xdr:cNvPr id="40" name="Chart 39">
          <a:extLst>
            <a:ext uri="{FF2B5EF4-FFF2-40B4-BE49-F238E27FC236}">
              <a16:creationId xmlns:a16="http://schemas.microsoft.com/office/drawing/2014/main" id="{BAC2E21C-BB7B-41A1-BF7A-22DEA8FBB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173046</xdr:colOff>
      <xdr:row>20</xdr:row>
      <xdr:rowOff>61496</xdr:rowOff>
    </xdr:from>
    <xdr:to>
      <xdr:col>17</xdr:col>
      <xdr:colOff>501473</xdr:colOff>
      <xdr:row>39</xdr:row>
      <xdr:rowOff>89037</xdr:rowOff>
    </xdr:to>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B2F18E82-5DFF-483A-9F5E-4FBF84CB9D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269046" y="3719096"/>
              <a:ext cx="4595627" cy="35022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338994</xdr:colOff>
      <xdr:row>25</xdr:row>
      <xdr:rowOff>28755</xdr:rowOff>
    </xdr:from>
    <xdr:to>
      <xdr:col>17</xdr:col>
      <xdr:colOff>348176</xdr:colOff>
      <xdr:row>30</xdr:row>
      <xdr:rowOff>47116</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954BE360-12D4-437D-9C0D-BAA2D10986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482994" y="4600755"/>
              <a:ext cx="1228382" cy="9327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176754</xdr:colOff>
      <xdr:row>18</xdr:row>
      <xdr:rowOff>120404</xdr:rowOff>
    </xdr:from>
    <xdr:to>
      <xdr:col>25</xdr:col>
      <xdr:colOff>570299</xdr:colOff>
      <xdr:row>28</xdr:row>
      <xdr:rowOff>151540</xdr:rowOff>
    </xdr:to>
    <xdr:graphicFrame macro="">
      <xdr:nvGraphicFramePr>
        <xdr:cNvPr id="44" name="Chart 43">
          <a:extLst>
            <a:ext uri="{FF2B5EF4-FFF2-40B4-BE49-F238E27FC236}">
              <a16:creationId xmlns:a16="http://schemas.microsoft.com/office/drawing/2014/main" id="{D2787856-FFC6-460C-93F1-FF6DA11B0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225437</xdr:colOff>
      <xdr:row>29</xdr:row>
      <xdr:rowOff>147224</xdr:rowOff>
    </xdr:from>
    <xdr:to>
      <xdr:col>26</xdr:col>
      <xdr:colOff>52909</xdr:colOff>
      <xdr:row>39</xdr:row>
      <xdr:rowOff>161602</xdr:rowOff>
    </xdr:to>
    <xdr:graphicFrame macro="">
      <xdr:nvGraphicFramePr>
        <xdr:cNvPr id="45" name="Chart 44">
          <a:extLst>
            <a:ext uri="{FF2B5EF4-FFF2-40B4-BE49-F238E27FC236}">
              <a16:creationId xmlns:a16="http://schemas.microsoft.com/office/drawing/2014/main" id="{DD709BEA-0DE1-4490-982B-2625734DD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86264</xdr:colOff>
      <xdr:row>30</xdr:row>
      <xdr:rowOff>129396</xdr:rowOff>
    </xdr:from>
    <xdr:to>
      <xdr:col>2</xdr:col>
      <xdr:colOff>14378</xdr:colOff>
      <xdr:row>40</xdr:row>
      <xdr:rowOff>5320</xdr:rowOff>
    </xdr:to>
    <mc:AlternateContent xmlns:mc="http://schemas.openxmlformats.org/markup-compatibility/2006" xmlns:a14="http://schemas.microsoft.com/office/drawing/2010/main">
      <mc:Choice Requires="a14">
        <xdr:graphicFrame macro="">
          <xdr:nvGraphicFramePr>
            <xdr:cNvPr id="46" name="Order Mode">
              <a:extLst>
                <a:ext uri="{FF2B5EF4-FFF2-40B4-BE49-F238E27FC236}">
                  <a16:creationId xmlns:a16="http://schemas.microsoft.com/office/drawing/2014/main" id="{84E90198-7D00-4CE8-9E04-558F2839B2A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86264" y="5756473"/>
              <a:ext cx="1581068" cy="1751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115018</xdr:colOff>
      <xdr:row>21</xdr:row>
      <xdr:rowOff>100642</xdr:rowOff>
    </xdr:from>
    <xdr:to>
      <xdr:col>2</xdr:col>
      <xdr:colOff>14377</xdr:colOff>
      <xdr:row>29</xdr:row>
      <xdr:rowOff>137017</xdr:rowOff>
    </xdr:to>
    <mc:AlternateContent xmlns:mc="http://schemas.openxmlformats.org/markup-compatibility/2006" xmlns:a14="http://schemas.microsoft.com/office/drawing/2010/main">
      <mc:Choice Requires="a14">
        <xdr:graphicFrame macro="">
          <xdr:nvGraphicFramePr>
            <xdr:cNvPr id="47" name="Gender Value">
              <a:extLst>
                <a:ext uri="{FF2B5EF4-FFF2-40B4-BE49-F238E27FC236}">
                  <a16:creationId xmlns:a16="http://schemas.microsoft.com/office/drawing/2014/main" id="{565A4D10-F24D-4ABF-ABCB-3F7FDC072F3B}"/>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15018" y="4039596"/>
              <a:ext cx="1552313" cy="1536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3</xdr:row>
      <xdr:rowOff>160020</xdr:rowOff>
    </xdr:from>
    <xdr:to>
      <xdr:col>11</xdr:col>
      <xdr:colOff>320040</xdr:colOff>
      <xdr:row>18</xdr:row>
      <xdr:rowOff>160020</xdr:rowOff>
    </xdr:to>
    <xdr:graphicFrame macro="">
      <xdr:nvGraphicFramePr>
        <xdr:cNvPr id="4" name="Chart 3">
          <a:extLst>
            <a:ext uri="{FF2B5EF4-FFF2-40B4-BE49-F238E27FC236}">
              <a16:creationId xmlns:a16="http://schemas.microsoft.com/office/drawing/2014/main" id="{1D8F489B-AA24-4B10-A6F6-200538539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220980</xdr:colOff>
      <xdr:row>5</xdr:row>
      <xdr:rowOff>49530</xdr:rowOff>
    </xdr:from>
    <xdr:to>
      <xdr:col>12</xdr:col>
      <xdr:colOff>525780</xdr:colOff>
      <xdr:row>24</xdr:row>
      <xdr:rowOff>68580</xdr:rowOff>
    </xdr:to>
    <xdr:graphicFrame macro="">
      <xdr:nvGraphicFramePr>
        <xdr:cNvPr id="6" name="Chart 5">
          <a:extLst>
            <a:ext uri="{FF2B5EF4-FFF2-40B4-BE49-F238E27FC236}">
              <a16:creationId xmlns:a16="http://schemas.microsoft.com/office/drawing/2014/main" id="{FF6674A1-A194-DE3C-9BA7-36555D695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556260</xdr:colOff>
      <xdr:row>61</xdr:row>
      <xdr:rowOff>179070</xdr:rowOff>
    </xdr:from>
    <xdr:to>
      <xdr:col>9</xdr:col>
      <xdr:colOff>274320</xdr:colOff>
      <xdr:row>76</xdr:row>
      <xdr:rowOff>179070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D6C984F-FF35-96E4-8DAF-7478B7B8E6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93080" y="113347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510540</xdr:colOff>
      <xdr:row>66</xdr:row>
      <xdr:rowOff>53340</xdr:rowOff>
    </xdr:from>
    <xdr:to>
      <xdr:col>12</xdr:col>
      <xdr:colOff>579120</xdr:colOff>
      <xdr:row>75</xdr:row>
      <xdr:rowOff>121920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3CD4CE0D-CDA2-CD89-0ACA-7EDF316466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401300" y="12123420"/>
              <a:ext cx="2628900" cy="1714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144780</xdr:colOff>
      <xdr:row>6</xdr:row>
      <xdr:rowOff>80010</xdr:rowOff>
    </xdr:from>
    <xdr:to>
      <xdr:col>11</xdr:col>
      <xdr:colOff>449580</xdr:colOff>
      <xdr:row>21</xdr:row>
      <xdr:rowOff>80010</xdr:rowOff>
    </xdr:to>
    <xdr:graphicFrame macro="">
      <xdr:nvGraphicFramePr>
        <xdr:cNvPr id="2" name="Chart 1">
          <a:extLst>
            <a:ext uri="{FF2B5EF4-FFF2-40B4-BE49-F238E27FC236}">
              <a16:creationId xmlns:a16="http://schemas.microsoft.com/office/drawing/2014/main" id="{EE3CB02E-EA46-9248-21AC-7665E8D4C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396240</xdr:colOff>
      <xdr:row>22</xdr:row>
      <xdr:rowOff>3810</xdr:rowOff>
    </xdr:from>
    <xdr:to>
      <xdr:col>15</xdr:col>
      <xdr:colOff>175260</xdr:colOff>
      <xdr:row>37</xdr:row>
      <xdr:rowOff>3810</xdr:rowOff>
    </xdr:to>
    <xdr:graphicFrame macro="">
      <xdr:nvGraphicFramePr>
        <xdr:cNvPr id="3" name="Chart 2">
          <a:extLst>
            <a:ext uri="{FF2B5EF4-FFF2-40B4-BE49-F238E27FC236}">
              <a16:creationId xmlns:a16="http://schemas.microsoft.com/office/drawing/2014/main" id="{7FBB858E-2225-2077-D114-89593DD45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3ATTY" refreshedDate="46054.865745138886" createdVersion="8" refreshedVersion="8" minRefreshableVersion="3" recordCount="2400" xr:uid="{F457EB8D-BE11-4165-BBD3-70EEB63BCD16}">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71468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9FD1AC-74A8-401B-96ED-BCA759BA8D05}" name="pvt tr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formats count="3">
    <format dxfId="7">
      <pivotArea collapsedLevelsAreSubtotals="1" fieldPosition="0">
        <references count="2">
          <reference field="4294967294" count="1" selected="0">
            <x v="1"/>
          </reference>
          <reference field="13" count="1">
            <x v="0"/>
          </reference>
        </references>
      </pivotArea>
    </format>
    <format dxfId="6">
      <pivotArea collapsedLevelsAreSubtotals="1" fieldPosition="0">
        <references count="2">
          <reference field="4294967294" count="1" selected="0">
            <x v="1"/>
          </reference>
          <reference field="13" count="1">
            <x v="1"/>
          </reference>
        </references>
      </pivotArea>
    </format>
    <format dxfId="5">
      <pivotArea field="13" grandRow="1" outline="0" collapsedLevelsAreSubtotals="1" axis="axisRow" fieldPosition="0">
        <references count="1">
          <reference field="4294967294" count="1" selected="0">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C4CB1F-CDE2-47E3-A946-26C9E7CC4235}" name="pvt sumar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36F5B3-CB7A-4256-BCCF-F4318939640A}" name="pvtGender_orderm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89F5F8-A5D1-47F4-A71F-D99289289489}" name="pvt_quantityPer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sd="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FCDD30-E8F5-44B0-9B3D-4F37204A1047}" name="PrudctGender_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11" format="0" series="1">
      <pivotArea type="data" outline="0" fieldPosition="0">
        <references count="2">
          <reference field="4294967294" count="1" selected="0">
            <x v="0"/>
          </reference>
          <reference field="14" count="1" selected="0">
            <x v="0"/>
          </reference>
        </references>
      </pivotArea>
    </chartFormat>
    <chartFormat chart="11" format="1" series="1">
      <pivotArea type="data" outline="0" fieldPosition="0">
        <references count="2">
          <reference field="4294967294" count="1" selected="0">
            <x v="0"/>
          </reference>
          <reference field="14" count="1" selected="0">
            <x v="1"/>
          </reference>
        </references>
      </pivotArea>
    </chartFormat>
    <chartFormat chart="11" format="2" series="1">
      <pivotArea type="data" outline="0" fieldPosition="0">
        <references count="2">
          <reference field="4294967294" count="1" selected="0">
            <x v="0"/>
          </reference>
          <reference field="14" count="1" selected="0">
            <x v="2"/>
          </reference>
        </references>
      </pivotArea>
    </chartFormat>
    <chartFormat chart="11" format="3" series="1">
      <pivotArea type="data" outline="0" fieldPosition="0">
        <references count="2">
          <reference field="4294967294" count="1" selected="0">
            <x v="0"/>
          </reference>
          <reference field="14" count="1" selected="0">
            <x v="3"/>
          </reference>
        </references>
      </pivotArea>
    </chartFormat>
    <chartFormat chart="20" format="8" series="1">
      <pivotArea type="data" outline="0" fieldPosition="0">
        <references count="2">
          <reference field="4294967294" count="1" selected="0">
            <x v="0"/>
          </reference>
          <reference field="14" count="1" selected="0">
            <x v="0"/>
          </reference>
        </references>
      </pivotArea>
    </chartFormat>
    <chartFormat chart="20" format="9" series="1">
      <pivotArea type="data" outline="0" fieldPosition="0">
        <references count="2">
          <reference field="4294967294" count="1" selected="0">
            <x v="0"/>
          </reference>
          <reference field="14" count="1" selected="0">
            <x v="1"/>
          </reference>
        </references>
      </pivotArea>
    </chartFormat>
    <chartFormat chart="20" format="10" series="1">
      <pivotArea type="data" outline="0" fieldPosition="0">
        <references count="2">
          <reference field="4294967294" count="1" selected="0">
            <x v="0"/>
          </reference>
          <reference field="14" count="1" selected="0">
            <x v="2"/>
          </reference>
        </references>
      </pivotArea>
    </chartFormat>
    <chartFormat chart="20"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853E26-E2EB-42DE-A27B-E212222C4534}" name="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6B8D65-01AD-41E6-9C4F-70C23F91A9E9}"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4:G29"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0">
    <chartFormat chart="8" format="0" series="1">
      <pivotArea type="data" outline="0" fieldPosition="0">
        <references count="2">
          <reference field="4294967294" count="1" selected="0">
            <x v="0"/>
          </reference>
          <reference field="9" count="1" selected="0">
            <x v="0"/>
          </reference>
        </references>
      </pivotArea>
    </chartFormat>
    <chartFormat chart="8" format="1" series="1">
      <pivotArea type="data" outline="0" fieldPosition="0">
        <references count="2">
          <reference field="4294967294" count="1" selected="0">
            <x v="0"/>
          </reference>
          <reference field="9" count="1" selected="0">
            <x v="1"/>
          </reference>
        </references>
      </pivotArea>
    </chartFormat>
    <chartFormat chart="8" format="2" series="1">
      <pivotArea type="data" outline="0" fieldPosition="0">
        <references count="2">
          <reference field="4294967294" count="1" selected="0">
            <x v="0"/>
          </reference>
          <reference field="9" count="1" selected="0">
            <x v="2"/>
          </reference>
        </references>
      </pivotArea>
    </chartFormat>
    <chartFormat chart="8" format="3" series="1">
      <pivotArea type="data" outline="0" fieldPosition="0">
        <references count="2">
          <reference field="4294967294" count="1" selected="0">
            <x v="0"/>
          </reference>
          <reference field="9" count="1" selected="0">
            <x v="3"/>
          </reference>
        </references>
      </pivotArea>
    </chartFormat>
    <chartFormat chart="8" format="4" series="1">
      <pivotArea type="data" outline="0" fieldPosition="0">
        <references count="2">
          <reference field="4294967294" count="1" selected="0">
            <x v="0"/>
          </reference>
          <reference field="9" count="1" selected="0">
            <x v="4"/>
          </reference>
        </references>
      </pivotArea>
    </chartFormat>
    <chartFormat chart="11" format="10" series="1">
      <pivotArea type="data" outline="0" fieldPosition="0">
        <references count="2">
          <reference field="4294967294" count="1" selected="0">
            <x v="0"/>
          </reference>
          <reference field="9" count="1" selected="0">
            <x v="0"/>
          </reference>
        </references>
      </pivotArea>
    </chartFormat>
    <chartFormat chart="11" format="11" series="1">
      <pivotArea type="data" outline="0" fieldPosition="0">
        <references count="2">
          <reference field="4294967294" count="1" selected="0">
            <x v="0"/>
          </reference>
          <reference field="9" count="1" selected="0">
            <x v="1"/>
          </reference>
        </references>
      </pivotArea>
    </chartFormat>
    <chartFormat chart="11" format="12" series="1">
      <pivotArea type="data" outline="0" fieldPosition="0">
        <references count="2">
          <reference field="4294967294" count="1" selected="0">
            <x v="0"/>
          </reference>
          <reference field="9" count="1" selected="0">
            <x v="2"/>
          </reference>
        </references>
      </pivotArea>
    </chartFormat>
    <chartFormat chart="11" format="13" series="1">
      <pivotArea type="data" outline="0" fieldPosition="0">
        <references count="2">
          <reference field="4294967294" count="1" selected="0">
            <x v="0"/>
          </reference>
          <reference field="9" count="1" selected="0">
            <x v="3"/>
          </reference>
        </references>
      </pivotArea>
    </chartFormat>
    <chartFormat chart="11"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8FBF92-E60D-4A99-AE96-3EB253A0ECD7}" name="deliveru_day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E3B5A6A-723C-4E3A-A306-D5AD0A8677C5}" sourceName="Order Mode">
  <pivotTables>
    <pivotTable tabId="11" name="map"/>
    <pivotTable tabId="5" name="pvt sumarry"/>
    <pivotTable tabId="5" name="pvt trends"/>
    <pivotTable tabId="12" name="deliveru_days"/>
    <pivotTable tabId="12" name="rating"/>
    <pivotTable tabId="10" name="PrudctGender_quantity"/>
    <pivotTable tabId="9" name="pvt_quantityPerCustomer"/>
  </pivotTables>
  <data>
    <tabular pivotCacheId="171468616">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7255ADEE-8F97-4242-93F6-BDC65E0B5590}" sourceName="Gender Value">
  <pivotTables>
    <pivotTable tabId="11" name="map"/>
    <pivotTable tabId="5" name="pvt sumarry"/>
    <pivotTable tabId="5" name="pvt trends"/>
    <pivotTable tabId="9" name="pvt_quantityPerCustomer"/>
    <pivotTable tabId="12" name="rating"/>
    <pivotTable tabId="12" name="deliveru_days"/>
  </pivotTables>
  <data>
    <tabular pivotCacheId="17146861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D3EAE64F-B522-4DDF-8AE1-2CF5AD6990BB}" cache="Slicer_Order_Mode" caption="Order Mode" rowHeight="234950"/>
  <slicer name="Gender Value" xr10:uid="{ED94A670-3995-4B33-A7CF-7279579A3E24}" cache="Slicer_Gender_Value" caption="Gender Valu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F711E-66E5-4779-8325-2B762AB60793}">
  <dimension ref="A2:K25"/>
  <sheetViews>
    <sheetView workbookViewId="0">
      <selection activeCell="I4" sqref="I4"/>
    </sheetView>
  </sheetViews>
  <sheetFormatPr defaultRowHeight="14.4" x14ac:dyDescent="0.3"/>
  <cols>
    <col min="1" max="1" width="12.5546875" bestFit="1" customWidth="1"/>
    <col min="2" max="2" width="14.88671875" bestFit="1" customWidth="1"/>
    <col min="3" max="3" width="14.44140625" bestFit="1" customWidth="1"/>
    <col min="4" max="4" width="17.6640625" bestFit="1" customWidth="1"/>
    <col min="5" max="5" width="23.33203125" bestFit="1" customWidth="1"/>
    <col min="10" max="10" width="11.21875" bestFit="1" customWidth="1"/>
  </cols>
  <sheetData>
    <row r="2" spans="1:11" x14ac:dyDescent="0.3">
      <c r="G2" t="s">
        <v>2523</v>
      </c>
    </row>
    <row r="3" spans="1:11" x14ac:dyDescent="0.3">
      <c r="A3" t="s">
        <v>2518</v>
      </c>
      <c r="B3" t="s">
        <v>2519</v>
      </c>
      <c r="C3" t="s">
        <v>2520</v>
      </c>
      <c r="D3" t="s">
        <v>2521</v>
      </c>
      <c r="E3" t="s">
        <v>2522</v>
      </c>
      <c r="G3" t="s">
        <v>2517</v>
      </c>
      <c r="H3" t="s">
        <v>2524</v>
      </c>
      <c r="I3" t="s">
        <v>4</v>
      </c>
      <c r="J3" t="s">
        <v>2525</v>
      </c>
      <c r="K3" t="s">
        <v>2526</v>
      </c>
    </row>
    <row r="4" spans="1:11" x14ac:dyDescent="0.3">
      <c r="A4">
        <v>2400</v>
      </c>
      <c r="B4">
        <v>11997</v>
      </c>
      <c r="C4">
        <v>649019.80000000144</v>
      </c>
      <c r="D4">
        <v>3.9620833333333332</v>
      </c>
      <c r="E4">
        <v>2.3424999999999998</v>
      </c>
      <c r="G4" t="str">
        <f>TEXT(A4,"#,##")</f>
        <v>2,400</v>
      </c>
      <c r="H4" t="str">
        <f>TEXT(B4,"#,##")</f>
        <v>11,997</v>
      </c>
      <c r="I4" t="str">
        <f>TEXT(C4,"$#,##,.0k")</f>
        <v>$649.0k</v>
      </c>
      <c r="J4" t="str">
        <f>TEXT(D4,"0.0")</f>
        <v>4.0</v>
      </c>
      <c r="K4" t="str">
        <f>TEXT(E4,"0.0")</f>
        <v>2.3</v>
      </c>
    </row>
    <row r="11" spans="1:11" x14ac:dyDescent="0.3">
      <c r="A11" s="6" t="s">
        <v>2527</v>
      </c>
      <c r="B11" t="s">
        <v>2519</v>
      </c>
      <c r="C11" t="s">
        <v>2520</v>
      </c>
    </row>
    <row r="12" spans="1:11" x14ac:dyDescent="0.3">
      <c r="A12" s="7">
        <v>1</v>
      </c>
      <c r="B12">
        <v>546</v>
      </c>
      <c r="C12" s="8">
        <v>32413.300000000003</v>
      </c>
    </row>
    <row r="13" spans="1:11" x14ac:dyDescent="0.3">
      <c r="A13" s="7">
        <v>2</v>
      </c>
      <c r="B13">
        <v>905</v>
      </c>
      <c r="C13" s="8">
        <v>49562.999999999993</v>
      </c>
    </row>
    <row r="14" spans="1:11" x14ac:dyDescent="0.3">
      <c r="A14" s="7">
        <v>3</v>
      </c>
      <c r="B14">
        <v>796</v>
      </c>
      <c r="C14">
        <v>41700.400000000016</v>
      </c>
    </row>
    <row r="15" spans="1:11" x14ac:dyDescent="0.3">
      <c r="A15" s="7">
        <v>4</v>
      </c>
      <c r="B15">
        <v>913</v>
      </c>
      <c r="C15">
        <v>46782.599999999984</v>
      </c>
    </row>
    <row r="16" spans="1:11" x14ac:dyDescent="0.3">
      <c r="A16" s="7">
        <v>5</v>
      </c>
      <c r="B16">
        <v>844</v>
      </c>
      <c r="C16">
        <v>42676.100000000006</v>
      </c>
    </row>
    <row r="17" spans="1:3" x14ac:dyDescent="0.3">
      <c r="A17" s="7">
        <v>6</v>
      </c>
      <c r="B17">
        <v>1202</v>
      </c>
      <c r="C17">
        <v>62910.7</v>
      </c>
    </row>
    <row r="18" spans="1:3" x14ac:dyDescent="0.3">
      <c r="A18" s="7">
        <v>7</v>
      </c>
      <c r="B18">
        <v>935</v>
      </c>
      <c r="C18">
        <v>50332.200000000004</v>
      </c>
    </row>
    <row r="19" spans="1:3" x14ac:dyDescent="0.3">
      <c r="A19" s="7">
        <v>8</v>
      </c>
      <c r="B19">
        <v>1128</v>
      </c>
      <c r="C19">
        <v>58760.599999999977</v>
      </c>
    </row>
    <row r="20" spans="1:3" x14ac:dyDescent="0.3">
      <c r="A20" s="7">
        <v>9</v>
      </c>
      <c r="B20">
        <v>1007</v>
      </c>
      <c r="C20">
        <v>52017.299999999996</v>
      </c>
    </row>
    <row r="21" spans="1:3" x14ac:dyDescent="0.3">
      <c r="A21" s="7">
        <v>10</v>
      </c>
      <c r="B21">
        <v>1128</v>
      </c>
      <c r="C21">
        <v>64915.700000000033</v>
      </c>
    </row>
    <row r="22" spans="1:3" x14ac:dyDescent="0.3">
      <c r="A22" s="7">
        <v>11</v>
      </c>
      <c r="B22">
        <v>861</v>
      </c>
      <c r="C22">
        <v>45943.80000000001</v>
      </c>
    </row>
    <row r="23" spans="1:3" x14ac:dyDescent="0.3">
      <c r="A23" s="7">
        <v>12</v>
      </c>
      <c r="B23">
        <v>944</v>
      </c>
      <c r="C23">
        <v>55077.900000000031</v>
      </c>
    </row>
    <row r="24" spans="1:3" x14ac:dyDescent="0.3">
      <c r="A24" s="7">
        <v>13</v>
      </c>
      <c r="B24">
        <v>788</v>
      </c>
      <c r="C24">
        <v>45926.19999999999</v>
      </c>
    </row>
    <row r="25" spans="1:3" x14ac:dyDescent="0.3">
      <c r="A25" s="7" t="s">
        <v>2528</v>
      </c>
      <c r="B25">
        <v>11997</v>
      </c>
      <c r="C25" s="8">
        <v>649019.79999999993</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40AFB-5C89-498E-A4FE-2FE68015F6AA}">
  <dimension ref="A1"/>
  <sheetViews>
    <sheetView tabSelected="1" zoomScale="61" zoomScaleNormal="69" workbookViewId="0">
      <selection activeCell="AE15" sqref="AE15"/>
    </sheetView>
  </sheetViews>
  <sheetFormatPr defaultRowHeight="14.4" x14ac:dyDescent="0.3"/>
  <cols>
    <col min="1" max="1" width="3.33203125" customWidth="1"/>
    <col min="2" max="2" width="20.6640625" customWidth="1"/>
    <col min="3" max="3" width="2.66406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2" sqref="B12"/>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2542</v>
      </c>
    </row>
    <row r="13" spans="2:2" x14ac:dyDescent="0.3">
      <c r="B13" t="s">
        <v>2511</v>
      </c>
    </row>
    <row r="14" spans="2:2" x14ac:dyDescent="0.3">
      <c r="B14" t="s">
        <v>2512</v>
      </c>
    </row>
    <row r="15" spans="2:2" x14ac:dyDescent="0.3">
      <c r="B15" t="s">
        <v>2513</v>
      </c>
    </row>
    <row r="16" spans="2:2" x14ac:dyDescent="0.3">
      <c r="B16" t="s">
        <v>2514</v>
      </c>
    </row>
    <row r="17" spans="2:2" x14ac:dyDescent="0.3">
      <c r="B17" t="s">
        <v>2515</v>
      </c>
    </row>
    <row r="18" spans="2:2" x14ac:dyDescent="0.3">
      <c r="B18" t="s">
        <v>2516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3AC16-2096-48E6-A67F-F0656505002E}">
  <dimension ref="A2:L10"/>
  <sheetViews>
    <sheetView showGridLines="0" topLeftCell="A3" workbookViewId="0">
      <selection activeCell="H4" sqref="H4"/>
    </sheetView>
  </sheetViews>
  <sheetFormatPr defaultRowHeight="14.4" x14ac:dyDescent="0.3"/>
  <cols>
    <col min="1" max="1" width="14.44140625" bestFit="1" customWidth="1"/>
    <col min="2" max="2" width="15.5546875" bestFit="1" customWidth="1"/>
    <col min="3" max="3" width="7" bestFit="1" customWidth="1"/>
    <col min="4" max="4" width="6" bestFit="1" customWidth="1"/>
    <col min="5" max="5" width="9.21875" bestFit="1" customWidth="1"/>
    <col min="6" max="6" width="10.77734375" bestFit="1" customWidth="1"/>
  </cols>
  <sheetData>
    <row r="2" spans="1:12" x14ac:dyDescent="0.3">
      <c r="H2" t="s">
        <v>2534</v>
      </c>
    </row>
    <row r="3" spans="1:12" x14ac:dyDescent="0.3">
      <c r="A3" s="6" t="s">
        <v>2520</v>
      </c>
      <c r="B3" s="6" t="s">
        <v>2533</v>
      </c>
    </row>
    <row r="4" spans="1:12" x14ac:dyDescent="0.3">
      <c r="A4" s="6" t="s">
        <v>2527</v>
      </c>
      <c r="B4" t="s">
        <v>2531</v>
      </c>
      <c r="C4" t="s">
        <v>2530</v>
      </c>
      <c r="D4" t="s">
        <v>2532</v>
      </c>
      <c r="E4" t="s">
        <v>2529</v>
      </c>
      <c r="F4" t="s">
        <v>2528</v>
      </c>
      <c r="H4" s="11"/>
      <c r="I4" s="11" t="str">
        <f>B4</f>
        <v>Female</v>
      </c>
      <c r="J4" s="11" t="str">
        <f t="shared" ref="J4:K9" si="0">C4</f>
        <v>Male</v>
      </c>
      <c r="K4" s="11" t="str">
        <f t="shared" si="0"/>
        <v>Other</v>
      </c>
      <c r="L4" s="11" t="str">
        <f>E4</f>
        <v>Unknown</v>
      </c>
    </row>
    <row r="5" spans="1:12" x14ac:dyDescent="0.3">
      <c r="A5" s="7" t="s">
        <v>18</v>
      </c>
      <c r="B5" s="10">
        <v>0.18961825201634841</v>
      </c>
      <c r="C5" s="10">
        <v>0.12262322351336576</v>
      </c>
      <c r="D5" s="10">
        <v>1.060537752469185E-2</v>
      </c>
      <c r="E5" s="10">
        <v>3.0599220547662797E-2</v>
      </c>
      <c r="F5" s="10">
        <v>0.35344607360206881</v>
      </c>
      <c r="H5" s="11" t="str">
        <f>A5</f>
        <v>App</v>
      </c>
      <c r="I5" s="12">
        <f t="shared" ref="I5:I9" si="1">B5</f>
        <v>0.18961825201634841</v>
      </c>
      <c r="J5" s="12">
        <f t="shared" si="0"/>
        <v>0.12262322351336576</v>
      </c>
      <c r="K5" s="12">
        <f t="shared" si="0"/>
        <v>1.060537752469185E-2</v>
      </c>
      <c r="L5" s="12">
        <f t="shared" ref="L5:L9" si="2">E5</f>
        <v>3.0599220547662797E-2</v>
      </c>
    </row>
    <row r="6" spans="1:12" x14ac:dyDescent="0.3">
      <c r="A6" s="7" t="s">
        <v>51</v>
      </c>
      <c r="B6" s="10">
        <v>5.0283982091147303E-2</v>
      </c>
      <c r="C6" s="10">
        <v>4.3060781812819873E-2</v>
      </c>
      <c r="D6" s="10">
        <v>1.5320025675641944E-3</v>
      </c>
      <c r="E6" s="10">
        <v>1.7794988689097006E-2</v>
      </c>
      <c r="F6" s="10">
        <v>0.11267175516062837</v>
      </c>
      <c r="H6" s="11" t="str">
        <f t="shared" ref="H6:H9" si="3">A6</f>
        <v>Instagram</v>
      </c>
      <c r="I6" s="12">
        <f t="shared" si="1"/>
        <v>5.0283982091147303E-2</v>
      </c>
      <c r="J6" s="12">
        <f t="shared" si="0"/>
        <v>4.3060781812819873E-2</v>
      </c>
      <c r="K6" s="12">
        <f t="shared" si="0"/>
        <v>1.5320025675641944E-3</v>
      </c>
      <c r="L6" s="12">
        <f t="shared" si="2"/>
        <v>1.7794988689097006E-2</v>
      </c>
    </row>
    <row r="7" spans="1:12" x14ac:dyDescent="0.3">
      <c r="A7" s="7" t="s">
        <v>70</v>
      </c>
      <c r="B7" s="10">
        <v>6.3496059750411282E-2</v>
      </c>
      <c r="C7" s="10">
        <v>4.6071629863988765E-2</v>
      </c>
      <c r="D7" s="10">
        <v>2.306247051322625E-3</v>
      </c>
      <c r="E7" s="10">
        <v>3.8927934093844286E-3</v>
      </c>
      <c r="F7" s="10">
        <v>0.11576673007510711</v>
      </c>
      <c r="H7" s="11" t="str">
        <f t="shared" si="3"/>
        <v>Partner App</v>
      </c>
      <c r="I7" s="12">
        <f t="shared" si="1"/>
        <v>6.3496059750411282E-2</v>
      </c>
      <c r="J7" s="12">
        <f t="shared" si="0"/>
        <v>4.6071629863988765E-2</v>
      </c>
      <c r="K7" s="12">
        <f t="shared" si="0"/>
        <v>2.306247051322625E-3</v>
      </c>
      <c r="L7" s="12">
        <f t="shared" si="2"/>
        <v>3.8927934093844286E-3</v>
      </c>
    </row>
    <row r="8" spans="1:12" x14ac:dyDescent="0.3">
      <c r="A8" s="7" t="s">
        <v>40</v>
      </c>
      <c r="B8" s="10">
        <v>9.6337892927149532E-2</v>
      </c>
      <c r="C8" s="10">
        <v>6.7920115842382611E-2</v>
      </c>
      <c r="D8" s="10">
        <v>5.4979832664581261E-3</v>
      </c>
      <c r="E8" s="10">
        <v>1.2933041488102518E-2</v>
      </c>
      <c r="F8" s="10">
        <v>0.1826890335240928</v>
      </c>
      <c r="H8" s="11" t="str">
        <f t="shared" si="3"/>
        <v>Target.com</v>
      </c>
      <c r="I8" s="12">
        <f t="shared" si="1"/>
        <v>9.6337892927149532E-2</v>
      </c>
      <c r="J8" s="12">
        <f t="shared" si="0"/>
        <v>6.7920115842382611E-2</v>
      </c>
      <c r="K8" s="12">
        <f t="shared" si="0"/>
        <v>5.4979832664581261E-3</v>
      </c>
      <c r="L8" s="12">
        <f t="shared" si="2"/>
        <v>1.2933041488102518E-2</v>
      </c>
    </row>
    <row r="9" spans="1:12" x14ac:dyDescent="0.3">
      <c r="A9" s="7" t="s">
        <v>35</v>
      </c>
      <c r="B9" s="10">
        <v>0.12522098709469262</v>
      </c>
      <c r="C9" s="10">
        <v>9.1492740283116228E-2</v>
      </c>
      <c r="D9" s="10">
        <v>6.3042760790965081E-3</v>
      </c>
      <c r="E9" s="10">
        <v>1.2408404181197551E-2</v>
      </c>
      <c r="F9" s="10">
        <v>0.23542640763810288</v>
      </c>
      <c r="H9" s="11" t="str">
        <f t="shared" si="3"/>
        <v>Website</v>
      </c>
      <c r="I9" s="12">
        <f t="shared" si="1"/>
        <v>0.12522098709469262</v>
      </c>
      <c r="J9" s="12">
        <f t="shared" si="0"/>
        <v>9.1492740283116228E-2</v>
      </c>
      <c r="K9" s="12">
        <f t="shared" si="0"/>
        <v>6.3042760790965081E-3</v>
      </c>
      <c r="L9" s="12">
        <f t="shared" si="2"/>
        <v>1.2408404181197551E-2</v>
      </c>
    </row>
    <row r="10" spans="1:12" x14ac:dyDescent="0.3">
      <c r="A10" s="7" t="s">
        <v>2528</v>
      </c>
      <c r="B10" s="10">
        <v>0.52495717387974916</v>
      </c>
      <c r="C10" s="10">
        <v>0.3711684913156732</v>
      </c>
      <c r="D10" s="10">
        <v>2.6245886489133303E-2</v>
      </c>
      <c r="E10" s="10">
        <v>7.7628448315444312E-2</v>
      </c>
      <c r="F10" s="10">
        <v>1</v>
      </c>
    </row>
  </sheetData>
  <conditionalFormatting sqref="I5:L9">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904EA-4736-4DFC-8722-AAD9D0B31C63}">
  <dimension ref="A3:B11"/>
  <sheetViews>
    <sheetView workbookViewId="0">
      <selection activeCell="A3" sqref="A3"/>
    </sheetView>
  </sheetViews>
  <sheetFormatPr defaultRowHeight="14.4" x14ac:dyDescent="0.3"/>
  <cols>
    <col min="1" max="1" width="12.5546875" bestFit="1" customWidth="1"/>
    <col min="2" max="2" width="13.21875" bestFit="1" customWidth="1"/>
  </cols>
  <sheetData>
    <row r="3" spans="1:2" x14ac:dyDescent="0.3">
      <c r="A3" s="6" t="s">
        <v>2527</v>
      </c>
      <c r="B3" t="s">
        <v>2518</v>
      </c>
    </row>
    <row r="4" spans="1:2" x14ac:dyDescent="0.3">
      <c r="A4" s="7">
        <v>1</v>
      </c>
      <c r="B4">
        <v>397</v>
      </c>
    </row>
    <row r="5" spans="1:2" x14ac:dyDescent="0.3">
      <c r="A5" s="7">
        <v>2</v>
      </c>
      <c r="B5">
        <v>540</v>
      </c>
    </row>
    <row r="6" spans="1:2" x14ac:dyDescent="0.3">
      <c r="A6" s="7">
        <v>3</v>
      </c>
      <c r="B6">
        <v>375</v>
      </c>
    </row>
    <row r="7" spans="1:2" x14ac:dyDescent="0.3">
      <c r="A7" s="7">
        <v>4</v>
      </c>
      <c r="B7">
        <v>246</v>
      </c>
    </row>
    <row r="8" spans="1:2" x14ac:dyDescent="0.3">
      <c r="A8" s="7">
        <v>5</v>
      </c>
      <c r="B8">
        <v>195</v>
      </c>
    </row>
    <row r="9" spans="1:2" x14ac:dyDescent="0.3">
      <c r="A9" s="7" t="s">
        <v>2535</v>
      </c>
      <c r="B9">
        <v>414</v>
      </c>
    </row>
    <row r="10" spans="1:2" x14ac:dyDescent="0.3">
      <c r="A10" s="7" t="s">
        <v>2536</v>
      </c>
      <c r="B10">
        <v>233</v>
      </c>
    </row>
    <row r="11" spans="1:2" x14ac:dyDescent="0.3">
      <c r="A11" s="7" t="s">
        <v>2528</v>
      </c>
      <c r="B11">
        <v>2400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3390E-0E89-4CFA-B9E2-1FED8E726C0F}">
  <dimension ref="A3:F25"/>
  <sheetViews>
    <sheetView workbookViewId="0">
      <selection activeCell="A4" sqref="A4"/>
    </sheetView>
  </sheetViews>
  <sheetFormatPr defaultRowHeight="14.4" x14ac:dyDescent="0.3"/>
  <cols>
    <col min="1" max="1" width="19.44140625" bestFit="1" customWidth="1"/>
    <col min="2" max="2" width="15.5546875" bestFit="1" customWidth="1"/>
    <col min="3" max="3" width="5.21875" bestFit="1" customWidth="1"/>
    <col min="4" max="4" width="5.77734375" bestFit="1" customWidth="1"/>
    <col min="5" max="5" width="9.21875" bestFit="1" customWidth="1"/>
    <col min="6" max="6" width="10.77734375" bestFit="1" customWidth="1"/>
  </cols>
  <sheetData>
    <row r="3" spans="1:6" x14ac:dyDescent="0.3">
      <c r="A3" s="6" t="s">
        <v>2519</v>
      </c>
      <c r="B3" s="6" t="s">
        <v>2533</v>
      </c>
    </row>
    <row r="4" spans="1:6" x14ac:dyDescent="0.3">
      <c r="A4" s="6" t="s">
        <v>2527</v>
      </c>
      <c r="B4" t="s">
        <v>2531</v>
      </c>
      <c r="C4" t="s">
        <v>2530</v>
      </c>
      <c r="D4" t="s">
        <v>2532</v>
      </c>
      <c r="E4" t="s">
        <v>2529</v>
      </c>
      <c r="F4" t="s">
        <v>2528</v>
      </c>
    </row>
    <row r="5" spans="1:6" x14ac:dyDescent="0.3">
      <c r="A5" s="7" t="s">
        <v>44</v>
      </c>
      <c r="B5">
        <v>744</v>
      </c>
      <c r="C5">
        <v>713</v>
      </c>
      <c r="D5">
        <v>90</v>
      </c>
      <c r="E5">
        <v>98</v>
      </c>
      <c r="F5">
        <v>1645</v>
      </c>
    </row>
    <row r="6" spans="1:6" x14ac:dyDescent="0.3">
      <c r="A6" s="7" t="s">
        <v>39</v>
      </c>
      <c r="B6">
        <v>716</v>
      </c>
      <c r="C6">
        <v>598</v>
      </c>
      <c r="D6">
        <v>18</v>
      </c>
      <c r="E6">
        <v>214</v>
      </c>
      <c r="F6">
        <v>1546</v>
      </c>
    </row>
    <row r="7" spans="1:6" x14ac:dyDescent="0.3">
      <c r="A7" s="7" t="s">
        <v>26</v>
      </c>
      <c r="B7">
        <v>627</v>
      </c>
      <c r="C7">
        <v>393</v>
      </c>
      <c r="D7">
        <v>29</v>
      </c>
      <c r="E7">
        <v>137</v>
      </c>
      <c r="F7">
        <v>1186</v>
      </c>
    </row>
    <row r="8" spans="1:6" x14ac:dyDescent="0.3">
      <c r="A8" s="7" t="s">
        <v>22</v>
      </c>
      <c r="B8">
        <v>568</v>
      </c>
      <c r="C8">
        <v>306</v>
      </c>
      <c r="D8">
        <v>22</v>
      </c>
      <c r="E8">
        <v>16</v>
      </c>
      <c r="F8">
        <v>912</v>
      </c>
    </row>
    <row r="9" spans="1:6" x14ac:dyDescent="0.3">
      <c r="A9" s="7" t="s">
        <v>54</v>
      </c>
      <c r="B9">
        <v>482</v>
      </c>
      <c r="C9">
        <v>295</v>
      </c>
      <c r="D9">
        <v>8</v>
      </c>
      <c r="E9">
        <v>22</v>
      </c>
      <c r="F9">
        <v>807</v>
      </c>
    </row>
    <row r="10" spans="1:6" x14ac:dyDescent="0.3">
      <c r="A10" s="7" t="s">
        <v>16</v>
      </c>
      <c r="B10">
        <v>428</v>
      </c>
      <c r="C10">
        <v>293</v>
      </c>
      <c r="E10">
        <v>24</v>
      </c>
      <c r="F10">
        <v>745</v>
      </c>
    </row>
    <row r="11" spans="1:6" x14ac:dyDescent="0.3">
      <c r="A11" s="7" t="s">
        <v>46</v>
      </c>
      <c r="B11">
        <v>445</v>
      </c>
      <c r="C11">
        <v>202</v>
      </c>
      <c r="D11">
        <v>14</v>
      </c>
      <c r="E11">
        <v>39</v>
      </c>
      <c r="F11">
        <v>700</v>
      </c>
    </row>
    <row r="12" spans="1:6" x14ac:dyDescent="0.3">
      <c r="A12" s="7" t="s">
        <v>32</v>
      </c>
      <c r="B12">
        <v>431</v>
      </c>
      <c r="C12">
        <v>187</v>
      </c>
      <c r="D12">
        <v>14</v>
      </c>
      <c r="E12">
        <v>15</v>
      </c>
      <c r="F12">
        <v>647</v>
      </c>
    </row>
    <row r="13" spans="1:6" x14ac:dyDescent="0.3">
      <c r="A13" s="7" t="s">
        <v>42</v>
      </c>
      <c r="B13">
        <v>264</v>
      </c>
      <c r="C13">
        <v>318</v>
      </c>
      <c r="D13">
        <v>15</v>
      </c>
      <c r="E13">
        <v>9</v>
      </c>
      <c r="F13">
        <v>606</v>
      </c>
    </row>
    <row r="14" spans="1:6" x14ac:dyDescent="0.3">
      <c r="A14" s="7" t="s">
        <v>37</v>
      </c>
      <c r="B14">
        <v>296</v>
      </c>
      <c r="C14">
        <v>275</v>
      </c>
      <c r="D14">
        <v>9</v>
      </c>
      <c r="E14">
        <v>23</v>
      </c>
      <c r="F14">
        <v>603</v>
      </c>
    </row>
    <row r="15" spans="1:6" x14ac:dyDescent="0.3">
      <c r="A15" s="7" t="s">
        <v>123</v>
      </c>
      <c r="B15">
        <v>153</v>
      </c>
      <c r="C15">
        <v>246</v>
      </c>
      <c r="D15">
        <v>30</v>
      </c>
      <c r="E15">
        <v>8</v>
      </c>
      <c r="F15">
        <v>437</v>
      </c>
    </row>
    <row r="16" spans="1:6" x14ac:dyDescent="0.3">
      <c r="A16" s="7" t="s">
        <v>146</v>
      </c>
      <c r="B16">
        <v>189</v>
      </c>
      <c r="C16">
        <v>168</v>
      </c>
      <c r="D16">
        <v>10</v>
      </c>
      <c r="E16">
        <v>31</v>
      </c>
      <c r="F16">
        <v>398</v>
      </c>
    </row>
    <row r="17" spans="1:6" x14ac:dyDescent="0.3">
      <c r="A17" s="7" t="s">
        <v>69</v>
      </c>
      <c r="B17">
        <v>234</v>
      </c>
      <c r="C17">
        <v>93</v>
      </c>
      <c r="D17">
        <v>19</v>
      </c>
      <c r="E17">
        <v>24</v>
      </c>
      <c r="F17">
        <v>370</v>
      </c>
    </row>
    <row r="18" spans="1:6" x14ac:dyDescent="0.3">
      <c r="A18" s="7" t="s">
        <v>30</v>
      </c>
      <c r="B18">
        <v>146</v>
      </c>
      <c r="C18">
        <v>94</v>
      </c>
      <c r="D18">
        <v>4</v>
      </c>
      <c r="E18">
        <v>28</v>
      </c>
      <c r="F18">
        <v>272</v>
      </c>
    </row>
    <row r="19" spans="1:6" x14ac:dyDescent="0.3">
      <c r="A19" s="7" t="s">
        <v>135</v>
      </c>
      <c r="B19">
        <v>127</v>
      </c>
      <c r="C19">
        <v>118</v>
      </c>
      <c r="D19">
        <v>13</v>
      </c>
      <c r="E19">
        <v>12</v>
      </c>
      <c r="F19">
        <v>270</v>
      </c>
    </row>
    <row r="20" spans="1:6" x14ac:dyDescent="0.3">
      <c r="A20" s="7" t="s">
        <v>67</v>
      </c>
      <c r="B20">
        <v>179</v>
      </c>
      <c r="C20">
        <v>76</v>
      </c>
      <c r="D20">
        <v>3</v>
      </c>
      <c r="F20">
        <v>258</v>
      </c>
    </row>
    <row r="21" spans="1:6" x14ac:dyDescent="0.3">
      <c r="A21" s="7" t="s">
        <v>128</v>
      </c>
      <c r="B21">
        <v>99</v>
      </c>
      <c r="C21">
        <v>69</v>
      </c>
      <c r="D21">
        <v>3</v>
      </c>
      <c r="E21">
        <v>24</v>
      </c>
      <c r="F21">
        <v>195</v>
      </c>
    </row>
    <row r="22" spans="1:6" x14ac:dyDescent="0.3">
      <c r="A22" s="7" t="s">
        <v>76</v>
      </c>
      <c r="B22">
        <v>75</v>
      </c>
      <c r="C22">
        <v>103</v>
      </c>
      <c r="D22">
        <v>4</v>
      </c>
      <c r="E22">
        <v>6</v>
      </c>
      <c r="F22">
        <v>188</v>
      </c>
    </row>
    <row r="23" spans="1:6" x14ac:dyDescent="0.3">
      <c r="A23" s="7" t="s">
        <v>81</v>
      </c>
      <c r="B23">
        <v>43</v>
      </c>
      <c r="C23">
        <v>90</v>
      </c>
      <c r="D23">
        <v>8</v>
      </c>
      <c r="E23">
        <v>6</v>
      </c>
      <c r="F23">
        <v>147</v>
      </c>
    </row>
    <row r="24" spans="1:6" x14ac:dyDescent="0.3">
      <c r="A24" s="7" t="s">
        <v>171</v>
      </c>
      <c r="B24">
        <v>26</v>
      </c>
      <c r="C24">
        <v>35</v>
      </c>
      <c r="D24">
        <v>4</v>
      </c>
      <c r="F24">
        <v>65</v>
      </c>
    </row>
    <row r="25" spans="1:6" x14ac:dyDescent="0.3">
      <c r="A25" s="7" t="s">
        <v>2528</v>
      </c>
      <c r="B25">
        <v>6272</v>
      </c>
      <c r="C25">
        <v>4672</v>
      </c>
      <c r="D25">
        <v>317</v>
      </c>
      <c r="E25">
        <v>736</v>
      </c>
      <c r="F25">
        <v>11997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2D7D1-1BD9-45DB-AD67-CBC781C42DE6}">
  <dimension ref="A2:N61"/>
  <sheetViews>
    <sheetView topLeftCell="B1" workbookViewId="0">
      <selection activeCell="B3" sqref="B3"/>
    </sheetView>
  </sheetViews>
  <sheetFormatPr defaultRowHeight="14.4" x14ac:dyDescent="0.3"/>
  <cols>
    <col min="1" max="1" width="24.109375" bestFit="1" customWidth="1"/>
    <col min="2" max="2" width="20" bestFit="1" customWidth="1"/>
    <col min="3" max="3" width="14.88671875" bestFit="1" customWidth="1"/>
    <col min="4" max="4" width="14.44140625" bestFit="1" customWidth="1"/>
    <col min="7" max="7" width="18.109375" bestFit="1" customWidth="1"/>
    <col min="8" max="8" width="20" bestFit="1" customWidth="1"/>
    <col min="9" max="9" width="14.88671875" bestFit="1" customWidth="1"/>
    <col min="12" max="12" width="19.5546875" bestFit="1" customWidth="1"/>
    <col min="13" max="13" width="20" bestFit="1" customWidth="1"/>
    <col min="14" max="14" width="14.44140625" bestFit="1" customWidth="1"/>
  </cols>
  <sheetData>
    <row r="2" spans="1:14" x14ac:dyDescent="0.3">
      <c r="G2" t="s">
        <v>2537</v>
      </c>
      <c r="L2" t="s">
        <v>2538</v>
      </c>
    </row>
    <row r="3" spans="1:14" x14ac:dyDescent="0.3">
      <c r="A3" s="6" t="s">
        <v>10</v>
      </c>
      <c r="B3" s="6" t="s">
        <v>11</v>
      </c>
      <c r="C3" t="s">
        <v>2519</v>
      </c>
      <c r="D3" t="s">
        <v>2520</v>
      </c>
      <c r="G3" s="5" t="s">
        <v>10</v>
      </c>
      <c r="H3" s="5" t="s">
        <v>11</v>
      </c>
      <c r="I3" s="5" t="s">
        <v>2519</v>
      </c>
      <c r="L3" s="5" t="s">
        <v>10</v>
      </c>
      <c r="M3" s="5" t="s">
        <v>11</v>
      </c>
      <c r="N3" s="5" t="s">
        <v>2520</v>
      </c>
    </row>
    <row r="4" spans="1:14" x14ac:dyDescent="0.3">
      <c r="A4" t="s">
        <v>19</v>
      </c>
      <c r="B4" t="s">
        <v>115</v>
      </c>
      <c r="C4">
        <v>579</v>
      </c>
      <c r="D4">
        <v>31884.999999999996</v>
      </c>
      <c r="G4" s="9" t="s">
        <v>19</v>
      </c>
      <c r="H4" t="s">
        <v>115</v>
      </c>
      <c r="I4">
        <v>579</v>
      </c>
      <c r="L4" s="9" t="s">
        <v>19</v>
      </c>
      <c r="M4" t="s">
        <v>115</v>
      </c>
      <c r="N4">
        <v>31884.999999999996</v>
      </c>
    </row>
    <row r="5" spans="1:14" x14ac:dyDescent="0.3">
      <c r="A5" t="s">
        <v>19</v>
      </c>
      <c r="B5" t="s">
        <v>20</v>
      </c>
      <c r="C5">
        <v>1</v>
      </c>
      <c r="D5">
        <v>10.9</v>
      </c>
      <c r="G5" s="9" t="s">
        <v>19</v>
      </c>
      <c r="H5" t="s">
        <v>20</v>
      </c>
      <c r="I5">
        <v>1</v>
      </c>
      <c r="L5" s="9" t="s">
        <v>19</v>
      </c>
      <c r="M5" t="s">
        <v>20</v>
      </c>
      <c r="N5">
        <v>10.9</v>
      </c>
    </row>
    <row r="6" spans="1:14" x14ac:dyDescent="0.3">
      <c r="A6" t="s">
        <v>19</v>
      </c>
      <c r="B6" t="s">
        <v>641</v>
      </c>
      <c r="C6">
        <v>9</v>
      </c>
      <c r="D6">
        <v>800.3</v>
      </c>
      <c r="G6" s="9" t="s">
        <v>19</v>
      </c>
      <c r="H6" t="s">
        <v>641</v>
      </c>
      <c r="I6">
        <v>9</v>
      </c>
      <c r="L6" s="9" t="s">
        <v>19</v>
      </c>
      <c r="M6" t="s">
        <v>641</v>
      </c>
      <c r="N6">
        <v>800.3</v>
      </c>
    </row>
    <row r="7" spans="1:14" x14ac:dyDescent="0.3">
      <c r="A7" t="s">
        <v>19</v>
      </c>
      <c r="B7" t="s">
        <v>967</v>
      </c>
      <c r="C7">
        <v>35</v>
      </c>
      <c r="D7">
        <v>1062.5999999999999</v>
      </c>
      <c r="G7" s="9" t="s">
        <v>19</v>
      </c>
      <c r="H7" t="s">
        <v>967</v>
      </c>
      <c r="I7">
        <v>35</v>
      </c>
      <c r="L7" s="9" t="s">
        <v>19</v>
      </c>
      <c r="M7" t="s">
        <v>967</v>
      </c>
      <c r="N7">
        <v>1062.5999999999999</v>
      </c>
    </row>
    <row r="8" spans="1:14" x14ac:dyDescent="0.3">
      <c r="A8" t="s">
        <v>19</v>
      </c>
      <c r="B8" t="s">
        <v>84</v>
      </c>
      <c r="C8">
        <v>12</v>
      </c>
      <c r="D8">
        <v>326.20000000000005</v>
      </c>
      <c r="G8" s="9" t="s">
        <v>19</v>
      </c>
      <c r="H8" t="s">
        <v>84</v>
      </c>
      <c r="I8">
        <v>12</v>
      </c>
      <c r="L8" s="9" t="s">
        <v>19</v>
      </c>
      <c r="M8" t="s">
        <v>84</v>
      </c>
      <c r="N8">
        <v>326.20000000000005</v>
      </c>
    </row>
    <row r="9" spans="1:14" x14ac:dyDescent="0.3">
      <c r="A9" t="s">
        <v>19</v>
      </c>
      <c r="B9" t="s">
        <v>1383</v>
      </c>
      <c r="C9">
        <v>4</v>
      </c>
      <c r="D9">
        <v>167.5</v>
      </c>
      <c r="G9" s="9" t="s">
        <v>19</v>
      </c>
      <c r="H9" t="s">
        <v>1383</v>
      </c>
      <c r="I9">
        <v>4</v>
      </c>
      <c r="L9" s="9" t="s">
        <v>19</v>
      </c>
      <c r="M9" t="s">
        <v>1383</v>
      </c>
      <c r="N9">
        <v>167.5</v>
      </c>
    </row>
    <row r="10" spans="1:14" x14ac:dyDescent="0.3">
      <c r="A10" t="s">
        <v>19</v>
      </c>
      <c r="B10" t="s">
        <v>24</v>
      </c>
      <c r="C10">
        <v>341</v>
      </c>
      <c r="D10">
        <v>16168.7</v>
      </c>
      <c r="G10" s="9" t="s">
        <v>19</v>
      </c>
      <c r="H10" t="s">
        <v>24</v>
      </c>
      <c r="I10">
        <v>341</v>
      </c>
      <c r="L10" s="9" t="s">
        <v>19</v>
      </c>
      <c r="M10" t="s">
        <v>24</v>
      </c>
      <c r="N10">
        <v>16168.7</v>
      </c>
    </row>
    <row r="11" spans="1:14" x14ac:dyDescent="0.3">
      <c r="A11" t="s">
        <v>19</v>
      </c>
      <c r="B11" t="s">
        <v>2204</v>
      </c>
      <c r="C11">
        <v>13</v>
      </c>
      <c r="D11">
        <v>322.40000000000003</v>
      </c>
      <c r="G11" s="9" t="s">
        <v>19</v>
      </c>
      <c r="H11" t="s">
        <v>2204</v>
      </c>
      <c r="I11">
        <v>13</v>
      </c>
      <c r="L11" s="9" t="s">
        <v>19</v>
      </c>
      <c r="M11" t="s">
        <v>2204</v>
      </c>
      <c r="N11">
        <v>322.40000000000003</v>
      </c>
    </row>
    <row r="12" spans="1:14" x14ac:dyDescent="0.3">
      <c r="A12" t="s">
        <v>19</v>
      </c>
      <c r="B12" t="s">
        <v>437</v>
      </c>
      <c r="C12">
        <v>31</v>
      </c>
      <c r="D12">
        <v>2092.8000000000002</v>
      </c>
      <c r="G12" s="9" t="s">
        <v>19</v>
      </c>
      <c r="H12" t="s">
        <v>437</v>
      </c>
      <c r="I12">
        <v>31</v>
      </c>
      <c r="L12" s="9" t="s">
        <v>19</v>
      </c>
      <c r="M12" t="s">
        <v>437</v>
      </c>
      <c r="N12">
        <v>2092.8000000000002</v>
      </c>
    </row>
    <row r="13" spans="1:14" x14ac:dyDescent="0.3">
      <c r="A13" t="s">
        <v>19</v>
      </c>
      <c r="B13" t="s">
        <v>28</v>
      </c>
      <c r="C13">
        <v>279</v>
      </c>
      <c r="D13">
        <v>12662.500000000002</v>
      </c>
      <c r="G13" s="9" t="s">
        <v>19</v>
      </c>
      <c r="H13" t="s">
        <v>28</v>
      </c>
      <c r="I13">
        <v>279</v>
      </c>
      <c r="L13" s="9" t="s">
        <v>19</v>
      </c>
      <c r="M13" t="s">
        <v>28</v>
      </c>
      <c r="N13">
        <v>12662.500000000002</v>
      </c>
    </row>
    <row r="14" spans="1:14" x14ac:dyDescent="0.3">
      <c r="A14" t="s">
        <v>19</v>
      </c>
      <c r="B14" t="s">
        <v>208</v>
      </c>
      <c r="C14">
        <v>9</v>
      </c>
      <c r="D14">
        <v>343.2</v>
      </c>
      <c r="G14" s="9" t="s">
        <v>19</v>
      </c>
      <c r="H14" t="s">
        <v>208</v>
      </c>
      <c r="I14">
        <v>9</v>
      </c>
      <c r="L14" s="9" t="s">
        <v>19</v>
      </c>
      <c r="M14" t="s">
        <v>208</v>
      </c>
      <c r="N14">
        <v>343.2</v>
      </c>
    </row>
    <row r="15" spans="1:14" x14ac:dyDescent="0.3">
      <c r="A15" t="s">
        <v>19</v>
      </c>
      <c r="B15" t="s">
        <v>587</v>
      </c>
      <c r="C15">
        <v>49</v>
      </c>
      <c r="D15">
        <v>2188.2999999999997</v>
      </c>
      <c r="G15" s="9" t="s">
        <v>19</v>
      </c>
      <c r="H15" t="s">
        <v>587</v>
      </c>
      <c r="I15">
        <v>49</v>
      </c>
      <c r="L15" s="9" t="s">
        <v>19</v>
      </c>
      <c r="M15" t="s">
        <v>587</v>
      </c>
      <c r="N15">
        <v>2188.2999999999997</v>
      </c>
    </row>
    <row r="16" spans="1:14" x14ac:dyDescent="0.3">
      <c r="A16" t="s">
        <v>19</v>
      </c>
      <c r="B16" t="s">
        <v>331</v>
      </c>
      <c r="C16">
        <v>59</v>
      </c>
      <c r="D16">
        <v>2661.5999999999995</v>
      </c>
      <c r="G16" s="9" t="s">
        <v>19</v>
      </c>
      <c r="H16" t="s">
        <v>331</v>
      </c>
      <c r="I16">
        <v>59</v>
      </c>
      <c r="L16" s="9" t="s">
        <v>19</v>
      </c>
      <c r="M16" t="s">
        <v>331</v>
      </c>
      <c r="N16">
        <v>2661.5999999999995</v>
      </c>
    </row>
    <row r="17" spans="1:14" x14ac:dyDescent="0.3">
      <c r="A17" t="s">
        <v>19</v>
      </c>
      <c r="B17" t="s">
        <v>86</v>
      </c>
      <c r="C17">
        <v>8</v>
      </c>
      <c r="D17">
        <v>887.5</v>
      </c>
      <c r="G17" s="9" t="s">
        <v>19</v>
      </c>
      <c r="H17" t="s">
        <v>86</v>
      </c>
      <c r="I17">
        <v>8</v>
      </c>
      <c r="L17" s="9" t="s">
        <v>19</v>
      </c>
      <c r="M17" t="s">
        <v>86</v>
      </c>
      <c r="N17">
        <v>887.5</v>
      </c>
    </row>
    <row r="18" spans="1:14" x14ac:dyDescent="0.3">
      <c r="A18" t="s">
        <v>19</v>
      </c>
      <c r="B18" t="s">
        <v>147</v>
      </c>
      <c r="C18">
        <v>222</v>
      </c>
      <c r="D18">
        <v>11354.199999999993</v>
      </c>
      <c r="G18" s="9" t="s">
        <v>19</v>
      </c>
      <c r="H18" t="s">
        <v>147</v>
      </c>
      <c r="I18">
        <v>222</v>
      </c>
      <c r="L18" s="9" t="s">
        <v>19</v>
      </c>
      <c r="M18" t="s">
        <v>147</v>
      </c>
      <c r="N18">
        <v>11354.199999999993</v>
      </c>
    </row>
    <row r="19" spans="1:14" x14ac:dyDescent="0.3">
      <c r="A19" t="s">
        <v>19</v>
      </c>
      <c r="B19" t="s">
        <v>334</v>
      </c>
      <c r="C19">
        <v>36</v>
      </c>
      <c r="D19">
        <v>1558.4</v>
      </c>
      <c r="G19" s="9" t="s">
        <v>19</v>
      </c>
      <c r="H19" t="s">
        <v>334</v>
      </c>
      <c r="I19">
        <v>36</v>
      </c>
      <c r="L19" s="9" t="s">
        <v>19</v>
      </c>
      <c r="M19" t="s">
        <v>334</v>
      </c>
      <c r="N19">
        <v>1558.4</v>
      </c>
    </row>
    <row r="20" spans="1:14" x14ac:dyDescent="0.3">
      <c r="A20" t="s">
        <v>19</v>
      </c>
      <c r="B20" t="s">
        <v>949</v>
      </c>
      <c r="C20">
        <v>30</v>
      </c>
      <c r="D20">
        <v>2223.9</v>
      </c>
      <c r="G20" s="9" t="s">
        <v>19</v>
      </c>
      <c r="H20" t="s">
        <v>949</v>
      </c>
      <c r="I20">
        <v>30</v>
      </c>
      <c r="L20" s="9" t="s">
        <v>19</v>
      </c>
      <c r="M20" t="s">
        <v>949</v>
      </c>
      <c r="N20">
        <v>2223.9</v>
      </c>
    </row>
    <row r="21" spans="1:14" x14ac:dyDescent="0.3">
      <c r="A21" t="s">
        <v>19</v>
      </c>
      <c r="B21" t="s">
        <v>1426</v>
      </c>
      <c r="C21">
        <v>1</v>
      </c>
      <c r="D21">
        <v>26.2</v>
      </c>
      <c r="G21" s="9" t="s">
        <v>19</v>
      </c>
      <c r="H21" t="s">
        <v>1426</v>
      </c>
      <c r="I21">
        <v>1</v>
      </c>
      <c r="L21" s="9" t="s">
        <v>19</v>
      </c>
      <c r="M21" t="s">
        <v>1426</v>
      </c>
      <c r="N21">
        <v>26.2</v>
      </c>
    </row>
    <row r="22" spans="1:14" x14ac:dyDescent="0.3">
      <c r="A22" t="s">
        <v>19</v>
      </c>
      <c r="B22" t="s">
        <v>33</v>
      </c>
      <c r="C22">
        <v>3991</v>
      </c>
      <c r="D22">
        <v>215551.19999999981</v>
      </c>
      <c r="G22" s="9" t="s">
        <v>19</v>
      </c>
      <c r="H22" t="s">
        <v>33</v>
      </c>
      <c r="I22">
        <v>3991</v>
      </c>
      <c r="L22" s="9" t="s">
        <v>19</v>
      </c>
      <c r="M22" t="s">
        <v>33</v>
      </c>
      <c r="N22">
        <v>215551.19999999981</v>
      </c>
    </row>
    <row r="23" spans="1:14" x14ac:dyDescent="0.3">
      <c r="A23" t="s">
        <v>19</v>
      </c>
      <c r="B23" t="s">
        <v>364</v>
      </c>
      <c r="C23">
        <v>45</v>
      </c>
      <c r="D23">
        <v>2687.3999999999996</v>
      </c>
      <c r="G23" s="9" t="s">
        <v>19</v>
      </c>
      <c r="H23" t="s">
        <v>364</v>
      </c>
      <c r="I23">
        <v>45</v>
      </c>
      <c r="L23" s="9" t="s">
        <v>19</v>
      </c>
      <c r="M23" t="s">
        <v>364</v>
      </c>
      <c r="N23">
        <v>2687.3999999999996</v>
      </c>
    </row>
    <row r="24" spans="1:14" x14ac:dyDescent="0.3">
      <c r="A24" t="s">
        <v>19</v>
      </c>
      <c r="B24" t="s">
        <v>545</v>
      </c>
      <c r="C24">
        <v>39</v>
      </c>
      <c r="D24">
        <v>1463.3000000000002</v>
      </c>
      <c r="G24" s="9" t="s">
        <v>19</v>
      </c>
      <c r="H24" t="s">
        <v>545</v>
      </c>
      <c r="I24">
        <v>39</v>
      </c>
      <c r="L24" s="9" t="s">
        <v>19</v>
      </c>
      <c r="M24" t="s">
        <v>545</v>
      </c>
      <c r="N24">
        <v>1463.3000000000002</v>
      </c>
    </row>
    <row r="25" spans="1:14" x14ac:dyDescent="0.3">
      <c r="A25" t="s">
        <v>19</v>
      </c>
      <c r="B25" t="s">
        <v>416</v>
      </c>
      <c r="C25">
        <v>6</v>
      </c>
      <c r="D25">
        <v>445.79999999999995</v>
      </c>
      <c r="G25" s="9" t="s">
        <v>19</v>
      </c>
      <c r="H25" t="s">
        <v>416</v>
      </c>
      <c r="I25">
        <v>6</v>
      </c>
      <c r="L25" s="9" t="s">
        <v>19</v>
      </c>
      <c r="M25" t="s">
        <v>416</v>
      </c>
      <c r="N25">
        <v>445.79999999999995</v>
      </c>
    </row>
    <row r="26" spans="1:14" x14ac:dyDescent="0.3">
      <c r="A26" t="s">
        <v>19</v>
      </c>
      <c r="B26" t="s">
        <v>258</v>
      </c>
      <c r="C26">
        <v>9</v>
      </c>
      <c r="D26">
        <v>273.59999999999997</v>
      </c>
      <c r="G26" s="9" t="s">
        <v>19</v>
      </c>
      <c r="H26" t="s">
        <v>258</v>
      </c>
      <c r="I26">
        <v>9</v>
      </c>
      <c r="L26" s="9" t="s">
        <v>19</v>
      </c>
      <c r="M26" t="s">
        <v>258</v>
      </c>
      <c r="N26">
        <v>273.59999999999997</v>
      </c>
    </row>
    <row r="27" spans="1:14" x14ac:dyDescent="0.3">
      <c r="A27" t="s">
        <v>19</v>
      </c>
      <c r="B27" t="s">
        <v>186</v>
      </c>
      <c r="C27">
        <v>60</v>
      </c>
      <c r="D27">
        <v>2690.4</v>
      </c>
      <c r="G27" s="9" t="s">
        <v>19</v>
      </c>
      <c r="H27" t="s">
        <v>186</v>
      </c>
      <c r="I27">
        <v>60</v>
      </c>
      <c r="L27" s="9" t="s">
        <v>19</v>
      </c>
      <c r="M27" t="s">
        <v>186</v>
      </c>
      <c r="N27">
        <v>2690.4</v>
      </c>
    </row>
    <row r="28" spans="1:14" x14ac:dyDescent="0.3">
      <c r="A28" t="s">
        <v>19</v>
      </c>
      <c r="B28" t="s">
        <v>392</v>
      </c>
      <c r="C28">
        <v>2</v>
      </c>
      <c r="D28">
        <v>28.4</v>
      </c>
      <c r="G28" s="9" t="s">
        <v>19</v>
      </c>
      <c r="H28" t="s">
        <v>392</v>
      </c>
      <c r="I28">
        <v>2</v>
      </c>
      <c r="L28" s="9" t="s">
        <v>19</v>
      </c>
      <c r="M28" t="s">
        <v>392</v>
      </c>
      <c r="N28">
        <v>28.4</v>
      </c>
    </row>
    <row r="29" spans="1:14" x14ac:dyDescent="0.3">
      <c r="A29" t="s">
        <v>19</v>
      </c>
      <c r="B29" t="s">
        <v>670</v>
      </c>
      <c r="C29">
        <v>4</v>
      </c>
      <c r="D29">
        <v>204.8</v>
      </c>
      <c r="G29" s="9" t="s">
        <v>19</v>
      </c>
      <c r="H29" t="s">
        <v>670</v>
      </c>
      <c r="I29">
        <v>4</v>
      </c>
      <c r="L29" s="9" t="s">
        <v>19</v>
      </c>
      <c r="M29" t="s">
        <v>670</v>
      </c>
      <c r="N29">
        <v>204.8</v>
      </c>
    </row>
    <row r="30" spans="1:14" x14ac:dyDescent="0.3">
      <c r="A30" t="s">
        <v>19</v>
      </c>
      <c r="B30" t="s">
        <v>802</v>
      </c>
      <c r="C30">
        <v>31</v>
      </c>
      <c r="D30">
        <v>1607.8999999999999</v>
      </c>
      <c r="G30" s="9" t="s">
        <v>19</v>
      </c>
      <c r="H30" t="s">
        <v>802</v>
      </c>
      <c r="I30">
        <v>31</v>
      </c>
      <c r="L30" s="9" t="s">
        <v>19</v>
      </c>
      <c r="M30" t="s">
        <v>802</v>
      </c>
      <c r="N30">
        <v>1607.8999999999999</v>
      </c>
    </row>
    <row r="31" spans="1:14" x14ac:dyDescent="0.3">
      <c r="A31" t="s">
        <v>19</v>
      </c>
      <c r="B31" t="s">
        <v>98</v>
      </c>
      <c r="C31">
        <v>88</v>
      </c>
      <c r="D31">
        <v>6444.9</v>
      </c>
      <c r="G31" s="9" t="s">
        <v>19</v>
      </c>
      <c r="H31" t="s">
        <v>98</v>
      </c>
      <c r="I31">
        <v>88</v>
      </c>
      <c r="L31" s="9" t="s">
        <v>19</v>
      </c>
      <c r="M31" t="s">
        <v>98</v>
      </c>
      <c r="N31">
        <v>6444.9</v>
      </c>
    </row>
    <row r="32" spans="1:14" x14ac:dyDescent="0.3">
      <c r="A32" t="s">
        <v>19</v>
      </c>
      <c r="B32" t="s">
        <v>49</v>
      </c>
      <c r="C32">
        <v>25</v>
      </c>
      <c r="D32">
        <v>1809.3</v>
      </c>
      <c r="G32" s="9" t="s">
        <v>19</v>
      </c>
      <c r="H32" t="s">
        <v>49</v>
      </c>
      <c r="I32">
        <v>25</v>
      </c>
      <c r="L32" s="9" t="s">
        <v>19</v>
      </c>
      <c r="M32" t="s">
        <v>49</v>
      </c>
      <c r="N32">
        <v>1809.3</v>
      </c>
    </row>
    <row r="33" spans="1:14" x14ac:dyDescent="0.3">
      <c r="A33" t="s">
        <v>19</v>
      </c>
      <c r="B33" t="s">
        <v>188</v>
      </c>
      <c r="C33">
        <v>178</v>
      </c>
      <c r="D33">
        <v>9680.399999999996</v>
      </c>
      <c r="G33" s="9" t="s">
        <v>19</v>
      </c>
      <c r="H33" t="s">
        <v>188</v>
      </c>
      <c r="I33">
        <v>178</v>
      </c>
      <c r="L33" s="9" t="s">
        <v>19</v>
      </c>
      <c r="M33" t="s">
        <v>188</v>
      </c>
      <c r="N33">
        <v>9680.399999999996</v>
      </c>
    </row>
    <row r="34" spans="1:14" x14ac:dyDescent="0.3">
      <c r="A34" t="s">
        <v>19</v>
      </c>
      <c r="B34" t="s">
        <v>52</v>
      </c>
      <c r="C34">
        <v>141</v>
      </c>
      <c r="D34">
        <v>9414.7999999999993</v>
      </c>
      <c r="G34" s="9" t="s">
        <v>19</v>
      </c>
      <c r="H34" t="s">
        <v>52</v>
      </c>
      <c r="I34">
        <v>141</v>
      </c>
      <c r="L34" s="9" t="s">
        <v>19</v>
      </c>
      <c r="M34" t="s">
        <v>52</v>
      </c>
      <c r="N34">
        <v>9414.7999999999993</v>
      </c>
    </row>
    <row r="35" spans="1:14" x14ac:dyDescent="0.3">
      <c r="A35" t="s">
        <v>19</v>
      </c>
      <c r="B35" t="s">
        <v>338</v>
      </c>
      <c r="C35">
        <v>6</v>
      </c>
      <c r="D35">
        <v>206.1</v>
      </c>
      <c r="G35" s="9" t="s">
        <v>19</v>
      </c>
      <c r="H35" t="s">
        <v>338</v>
      </c>
      <c r="I35">
        <v>6</v>
      </c>
      <c r="L35" s="9" t="s">
        <v>19</v>
      </c>
      <c r="M35" t="s">
        <v>338</v>
      </c>
      <c r="N35">
        <v>206.1</v>
      </c>
    </row>
    <row r="36" spans="1:14" x14ac:dyDescent="0.3">
      <c r="A36" t="s">
        <v>19</v>
      </c>
      <c r="B36" t="s">
        <v>158</v>
      </c>
      <c r="C36">
        <v>178</v>
      </c>
      <c r="D36">
        <v>7691.3</v>
      </c>
      <c r="G36" s="9" t="s">
        <v>19</v>
      </c>
      <c r="H36" t="s">
        <v>158</v>
      </c>
      <c r="I36">
        <v>178</v>
      </c>
      <c r="L36" s="9" t="s">
        <v>19</v>
      </c>
      <c r="M36" t="s">
        <v>158</v>
      </c>
      <c r="N36">
        <v>7691.3</v>
      </c>
    </row>
    <row r="37" spans="1:14" x14ac:dyDescent="0.3">
      <c r="A37" t="s">
        <v>19</v>
      </c>
      <c r="B37" t="s">
        <v>55</v>
      </c>
      <c r="C37">
        <v>699</v>
      </c>
      <c r="D37">
        <v>37784.900000000016</v>
      </c>
      <c r="G37" s="9" t="s">
        <v>19</v>
      </c>
      <c r="H37" t="s">
        <v>55</v>
      </c>
      <c r="I37">
        <v>699</v>
      </c>
      <c r="L37" s="9" t="s">
        <v>19</v>
      </c>
      <c r="M37" t="s">
        <v>55</v>
      </c>
      <c r="N37">
        <v>37784.900000000016</v>
      </c>
    </row>
    <row r="38" spans="1:14" x14ac:dyDescent="0.3">
      <c r="A38" t="s">
        <v>19</v>
      </c>
      <c r="B38" t="s">
        <v>342</v>
      </c>
      <c r="C38">
        <v>23</v>
      </c>
      <c r="D38">
        <v>1129.7</v>
      </c>
      <c r="G38" s="9" t="s">
        <v>19</v>
      </c>
      <c r="H38" t="s">
        <v>342</v>
      </c>
      <c r="I38">
        <v>23</v>
      </c>
      <c r="L38" s="9" t="s">
        <v>19</v>
      </c>
      <c r="M38" t="s">
        <v>342</v>
      </c>
      <c r="N38">
        <v>1129.7</v>
      </c>
    </row>
    <row r="39" spans="1:14" x14ac:dyDescent="0.3">
      <c r="A39" t="s">
        <v>19</v>
      </c>
      <c r="B39" t="s">
        <v>59</v>
      </c>
      <c r="C39">
        <v>356</v>
      </c>
      <c r="D39">
        <v>20988.9</v>
      </c>
      <c r="G39" s="9" t="s">
        <v>19</v>
      </c>
      <c r="H39" t="s">
        <v>59</v>
      </c>
      <c r="I39">
        <v>356</v>
      </c>
      <c r="L39" s="9" t="s">
        <v>19</v>
      </c>
      <c r="M39" t="s">
        <v>59</v>
      </c>
      <c r="N39">
        <v>20988.9</v>
      </c>
    </row>
    <row r="40" spans="1:14" x14ac:dyDescent="0.3">
      <c r="A40" t="s">
        <v>19</v>
      </c>
      <c r="B40" t="s">
        <v>62</v>
      </c>
      <c r="C40">
        <v>1768</v>
      </c>
      <c r="D40">
        <v>98367.099999999977</v>
      </c>
      <c r="G40" s="9" t="s">
        <v>19</v>
      </c>
      <c r="H40" t="s">
        <v>62</v>
      </c>
      <c r="I40">
        <v>1768</v>
      </c>
      <c r="L40" s="9" t="s">
        <v>19</v>
      </c>
      <c r="M40" t="s">
        <v>62</v>
      </c>
      <c r="N40">
        <v>98367.099999999977</v>
      </c>
    </row>
    <row r="41" spans="1:14" x14ac:dyDescent="0.3">
      <c r="A41" t="s">
        <v>19</v>
      </c>
      <c r="B41" t="s">
        <v>103</v>
      </c>
      <c r="C41">
        <v>307</v>
      </c>
      <c r="D41">
        <v>21911.9</v>
      </c>
      <c r="G41" s="9" t="s">
        <v>19</v>
      </c>
      <c r="H41" t="s">
        <v>103</v>
      </c>
      <c r="I41">
        <v>307</v>
      </c>
      <c r="L41" s="9" t="s">
        <v>19</v>
      </c>
      <c r="M41" t="s">
        <v>103</v>
      </c>
      <c r="N41">
        <v>21911.9</v>
      </c>
    </row>
    <row r="42" spans="1:14" x14ac:dyDescent="0.3">
      <c r="A42" t="s">
        <v>19</v>
      </c>
      <c r="B42" t="s">
        <v>201</v>
      </c>
      <c r="C42">
        <v>117</v>
      </c>
      <c r="D42">
        <v>5441.2</v>
      </c>
      <c r="G42" s="9" t="s">
        <v>19</v>
      </c>
      <c r="H42" t="s">
        <v>201</v>
      </c>
      <c r="I42">
        <v>117</v>
      </c>
      <c r="L42" s="9" t="s">
        <v>19</v>
      </c>
      <c r="M42" t="s">
        <v>201</v>
      </c>
      <c r="N42">
        <v>5441.2</v>
      </c>
    </row>
    <row r="43" spans="1:14" x14ac:dyDescent="0.3">
      <c r="A43" t="s">
        <v>19</v>
      </c>
      <c r="B43" t="s">
        <v>429</v>
      </c>
      <c r="C43">
        <v>13</v>
      </c>
      <c r="D43">
        <v>392.8</v>
      </c>
      <c r="G43" s="9" t="s">
        <v>19</v>
      </c>
      <c r="H43" t="s">
        <v>429</v>
      </c>
      <c r="I43">
        <v>13</v>
      </c>
      <c r="L43" s="9" t="s">
        <v>19</v>
      </c>
      <c r="M43" t="s">
        <v>429</v>
      </c>
      <c r="N43">
        <v>392.8</v>
      </c>
    </row>
    <row r="44" spans="1:14" x14ac:dyDescent="0.3">
      <c r="A44" t="s">
        <v>19</v>
      </c>
      <c r="B44" t="s">
        <v>72</v>
      </c>
      <c r="C44">
        <v>364</v>
      </c>
      <c r="D44">
        <v>16172.000000000005</v>
      </c>
      <c r="G44" s="9" t="s">
        <v>19</v>
      </c>
      <c r="H44" t="s">
        <v>72</v>
      </c>
      <c r="I44">
        <v>364</v>
      </c>
      <c r="L44" s="9" t="s">
        <v>19</v>
      </c>
      <c r="M44" t="s">
        <v>72</v>
      </c>
      <c r="N44">
        <v>16172.000000000005</v>
      </c>
    </row>
    <row r="45" spans="1:14" x14ac:dyDescent="0.3">
      <c r="A45" t="s">
        <v>19</v>
      </c>
      <c r="B45" t="s">
        <v>74</v>
      </c>
      <c r="C45">
        <v>95</v>
      </c>
      <c r="D45">
        <v>4334.9999999999991</v>
      </c>
      <c r="G45" s="9" t="s">
        <v>19</v>
      </c>
      <c r="H45" t="s">
        <v>74</v>
      </c>
      <c r="I45">
        <v>95</v>
      </c>
      <c r="L45" s="9" t="s">
        <v>19</v>
      </c>
      <c r="M45" t="s">
        <v>74</v>
      </c>
      <c r="N45">
        <v>4334.9999999999991</v>
      </c>
    </row>
    <row r="46" spans="1:14" x14ac:dyDescent="0.3">
      <c r="A46" t="s">
        <v>19</v>
      </c>
      <c r="B46" t="s">
        <v>77</v>
      </c>
      <c r="C46">
        <v>737</v>
      </c>
      <c r="D46">
        <v>37449.000000000007</v>
      </c>
      <c r="G46" s="9" t="s">
        <v>19</v>
      </c>
      <c r="H46" t="s">
        <v>77</v>
      </c>
      <c r="I46">
        <v>737</v>
      </c>
      <c r="L46" s="9" t="s">
        <v>19</v>
      </c>
      <c r="M46" t="s">
        <v>77</v>
      </c>
      <c r="N46">
        <v>37449.000000000007</v>
      </c>
    </row>
    <row r="47" spans="1:14" x14ac:dyDescent="0.3">
      <c r="A47" t="s">
        <v>19</v>
      </c>
      <c r="B47" t="s">
        <v>309</v>
      </c>
      <c r="C47">
        <v>39</v>
      </c>
      <c r="D47">
        <v>2447.5</v>
      </c>
      <c r="G47" s="9" t="s">
        <v>19</v>
      </c>
      <c r="H47" t="s">
        <v>309</v>
      </c>
      <c r="I47">
        <v>39</v>
      </c>
      <c r="L47" s="9" t="s">
        <v>19</v>
      </c>
      <c r="M47" t="s">
        <v>309</v>
      </c>
      <c r="N47">
        <v>2447.5</v>
      </c>
    </row>
    <row r="48" spans="1:14" x14ac:dyDescent="0.3">
      <c r="A48" t="s">
        <v>19</v>
      </c>
      <c r="B48" t="s">
        <v>1116</v>
      </c>
      <c r="C48">
        <v>56</v>
      </c>
      <c r="D48">
        <v>3391.1</v>
      </c>
      <c r="G48" s="9" t="s">
        <v>19</v>
      </c>
      <c r="H48" t="s">
        <v>1116</v>
      </c>
      <c r="I48">
        <v>56</v>
      </c>
      <c r="L48" s="9" t="s">
        <v>19</v>
      </c>
      <c r="M48" t="s">
        <v>1116</v>
      </c>
      <c r="N48">
        <v>3391.1</v>
      </c>
    </row>
    <row r="49" spans="1:14" x14ac:dyDescent="0.3">
      <c r="A49" t="s">
        <v>19</v>
      </c>
      <c r="B49" t="s">
        <v>700</v>
      </c>
      <c r="C49">
        <v>2</v>
      </c>
      <c r="D49">
        <v>30.8</v>
      </c>
      <c r="G49" s="9" t="s">
        <v>19</v>
      </c>
      <c r="H49" t="s">
        <v>700</v>
      </c>
      <c r="I49">
        <v>2</v>
      </c>
      <c r="L49" s="9" t="s">
        <v>19</v>
      </c>
      <c r="M49" t="s">
        <v>700</v>
      </c>
      <c r="N49">
        <v>30.8</v>
      </c>
    </row>
    <row r="50" spans="1:14" x14ac:dyDescent="0.3">
      <c r="A50" t="s">
        <v>19</v>
      </c>
      <c r="B50" t="s">
        <v>268</v>
      </c>
      <c r="C50">
        <v>8</v>
      </c>
      <c r="D50">
        <v>332.3</v>
      </c>
      <c r="G50" s="9" t="s">
        <v>19</v>
      </c>
      <c r="H50" t="s">
        <v>268</v>
      </c>
      <c r="I50">
        <v>8</v>
      </c>
      <c r="L50" s="9" t="s">
        <v>19</v>
      </c>
      <c r="M50" t="s">
        <v>268</v>
      </c>
      <c r="N50">
        <v>332.3</v>
      </c>
    </row>
    <row r="51" spans="1:14" x14ac:dyDescent="0.3">
      <c r="A51" t="s">
        <v>19</v>
      </c>
      <c r="B51" t="s">
        <v>377</v>
      </c>
      <c r="C51">
        <v>52</v>
      </c>
      <c r="D51">
        <v>3175.9999999999995</v>
      </c>
      <c r="G51" s="9" t="s">
        <v>19</v>
      </c>
      <c r="H51" t="s">
        <v>377</v>
      </c>
      <c r="I51">
        <v>52</v>
      </c>
      <c r="L51" s="9" t="s">
        <v>19</v>
      </c>
      <c r="M51" t="s">
        <v>377</v>
      </c>
      <c r="N51">
        <v>3175.9999999999995</v>
      </c>
    </row>
    <row r="52" spans="1:14" x14ac:dyDescent="0.3">
      <c r="A52" t="s">
        <v>19</v>
      </c>
      <c r="B52" t="s">
        <v>108</v>
      </c>
      <c r="C52">
        <v>295</v>
      </c>
      <c r="D52">
        <v>20939.600000000002</v>
      </c>
      <c r="G52" s="9" t="s">
        <v>19</v>
      </c>
      <c r="H52" t="s">
        <v>108</v>
      </c>
      <c r="I52">
        <v>295</v>
      </c>
      <c r="L52" s="9" t="s">
        <v>19</v>
      </c>
      <c r="M52" t="s">
        <v>108</v>
      </c>
      <c r="N52">
        <v>20939.600000000002</v>
      </c>
    </row>
    <row r="53" spans="1:14" x14ac:dyDescent="0.3">
      <c r="A53" t="s">
        <v>19</v>
      </c>
      <c r="B53" t="s">
        <v>110</v>
      </c>
      <c r="C53">
        <v>195</v>
      </c>
      <c r="D53">
        <v>10185.899999999996</v>
      </c>
      <c r="G53" s="9" t="s">
        <v>19</v>
      </c>
      <c r="H53" t="s">
        <v>110</v>
      </c>
      <c r="I53">
        <v>195</v>
      </c>
      <c r="L53" s="9" t="s">
        <v>19</v>
      </c>
      <c r="M53" t="s">
        <v>110</v>
      </c>
      <c r="N53">
        <v>10185.899999999996</v>
      </c>
    </row>
    <row r="54" spans="1:14" x14ac:dyDescent="0.3">
      <c r="A54" t="s">
        <v>19</v>
      </c>
      <c r="B54" t="s">
        <v>292</v>
      </c>
      <c r="C54">
        <v>20</v>
      </c>
      <c r="D54">
        <v>958.7</v>
      </c>
      <c r="G54" s="9" t="s">
        <v>19</v>
      </c>
      <c r="H54" t="s">
        <v>292</v>
      </c>
      <c r="I54">
        <v>20</v>
      </c>
      <c r="L54" s="9" t="s">
        <v>19</v>
      </c>
      <c r="M54" t="s">
        <v>292</v>
      </c>
      <c r="N54">
        <v>958.7</v>
      </c>
    </row>
    <row r="55" spans="1:14" x14ac:dyDescent="0.3">
      <c r="A55" t="s">
        <v>19</v>
      </c>
      <c r="B55" t="s">
        <v>79</v>
      </c>
      <c r="C55">
        <v>6</v>
      </c>
      <c r="D55">
        <v>323</v>
      </c>
      <c r="G55" s="9" t="s">
        <v>19</v>
      </c>
      <c r="H55" t="s">
        <v>79</v>
      </c>
      <c r="I55">
        <v>6</v>
      </c>
      <c r="L55" s="9" t="s">
        <v>19</v>
      </c>
      <c r="M55" t="s">
        <v>79</v>
      </c>
      <c r="N55">
        <v>323</v>
      </c>
    </row>
    <row r="56" spans="1:14" x14ac:dyDescent="0.3">
      <c r="A56" t="s">
        <v>19</v>
      </c>
      <c r="B56" t="s">
        <v>608</v>
      </c>
      <c r="C56">
        <v>5</v>
      </c>
      <c r="D56">
        <v>167.70000000000002</v>
      </c>
      <c r="G56" s="9" t="s">
        <v>19</v>
      </c>
      <c r="H56" t="s">
        <v>608</v>
      </c>
      <c r="I56">
        <v>5</v>
      </c>
      <c r="L56" s="9" t="s">
        <v>19</v>
      </c>
      <c r="M56" t="s">
        <v>608</v>
      </c>
      <c r="N56">
        <v>167.70000000000002</v>
      </c>
    </row>
    <row r="57" spans="1:14" x14ac:dyDescent="0.3">
      <c r="A57" t="s">
        <v>19</v>
      </c>
      <c r="B57" t="s">
        <v>113</v>
      </c>
      <c r="C57">
        <v>94</v>
      </c>
      <c r="D57">
        <v>3978.5</v>
      </c>
      <c r="G57" s="9" t="s">
        <v>19</v>
      </c>
      <c r="H57" t="s">
        <v>113</v>
      </c>
      <c r="I57">
        <v>94</v>
      </c>
      <c r="L57" s="9" t="s">
        <v>19</v>
      </c>
      <c r="M57" t="s">
        <v>113</v>
      </c>
      <c r="N57">
        <v>3978.5</v>
      </c>
    </row>
    <row r="58" spans="1:14" x14ac:dyDescent="0.3">
      <c r="A58" t="s">
        <v>19</v>
      </c>
      <c r="B58" t="s">
        <v>997</v>
      </c>
      <c r="C58">
        <v>28</v>
      </c>
      <c r="D58">
        <v>1405</v>
      </c>
      <c r="G58" s="9" t="s">
        <v>19</v>
      </c>
      <c r="H58" t="s">
        <v>997</v>
      </c>
      <c r="I58">
        <v>28</v>
      </c>
      <c r="L58" s="9" t="s">
        <v>19</v>
      </c>
      <c r="M58" t="s">
        <v>997</v>
      </c>
      <c r="N58">
        <v>1405</v>
      </c>
    </row>
    <row r="59" spans="1:14" x14ac:dyDescent="0.3">
      <c r="A59" t="s">
        <v>19</v>
      </c>
      <c r="B59" t="s">
        <v>82</v>
      </c>
      <c r="C59">
        <v>179</v>
      </c>
      <c r="D59">
        <v>9869.0999999999985</v>
      </c>
      <c r="G59" s="9" t="s">
        <v>19</v>
      </c>
      <c r="H59" t="s">
        <v>82</v>
      </c>
      <c r="I59">
        <v>179</v>
      </c>
      <c r="L59" s="9" t="s">
        <v>19</v>
      </c>
      <c r="M59" t="s">
        <v>82</v>
      </c>
      <c r="N59">
        <v>9869.0999999999985</v>
      </c>
    </row>
    <row r="60" spans="1:14" x14ac:dyDescent="0.3">
      <c r="A60" t="s">
        <v>19</v>
      </c>
      <c r="B60" t="s">
        <v>243</v>
      </c>
      <c r="C60">
        <v>15</v>
      </c>
      <c r="D60">
        <v>615.29999999999995</v>
      </c>
      <c r="G60" s="9" t="s">
        <v>19</v>
      </c>
      <c r="H60" t="s">
        <v>243</v>
      </c>
      <c r="I60">
        <v>15</v>
      </c>
      <c r="L60" s="9" t="s">
        <v>19</v>
      </c>
      <c r="M60" t="s">
        <v>243</v>
      </c>
      <c r="N60">
        <v>615.29999999999995</v>
      </c>
    </row>
    <row r="61" spans="1:14" x14ac:dyDescent="0.3">
      <c r="A61" t="s">
        <v>19</v>
      </c>
      <c r="B61" t="s">
        <v>1911</v>
      </c>
      <c r="C61">
        <v>3</v>
      </c>
      <c r="D61">
        <v>285</v>
      </c>
      <c r="G61" s="13" t="s">
        <v>19</v>
      </c>
      <c r="H61" t="s">
        <v>1911</v>
      </c>
      <c r="I61">
        <v>3</v>
      </c>
      <c r="L61" s="13" t="s">
        <v>19</v>
      </c>
      <c r="M61" t="s">
        <v>1911</v>
      </c>
      <c r="N61">
        <v>285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644D5-7850-4995-B101-F962EB156750}">
  <dimension ref="A3:G29"/>
  <sheetViews>
    <sheetView workbookViewId="0">
      <selection activeCell="A3" sqref="A3"/>
    </sheetView>
  </sheetViews>
  <sheetFormatPr defaultRowHeight="14.4" x14ac:dyDescent="0.3"/>
  <cols>
    <col min="1" max="1" width="12.5546875" bestFit="1" customWidth="1"/>
    <col min="2" max="2" width="13.21875" bestFit="1" customWidth="1"/>
    <col min="3" max="4" width="4" bestFit="1" customWidth="1"/>
    <col min="5" max="5" width="5" bestFit="1" customWidth="1"/>
    <col min="6" max="6" width="4" bestFit="1" customWidth="1"/>
    <col min="7" max="7" width="10.77734375" bestFit="1" customWidth="1"/>
    <col min="8" max="10" width="8.109375" bestFit="1" customWidth="1"/>
    <col min="11" max="32" width="9.109375" bestFit="1" customWidth="1"/>
    <col min="33" max="41" width="8.33203125" bestFit="1" customWidth="1"/>
    <col min="42" max="60" width="9.33203125" bestFit="1" customWidth="1"/>
    <col min="61" max="69" width="8.77734375" bestFit="1" customWidth="1"/>
    <col min="70" max="89" width="9.77734375" bestFit="1" customWidth="1"/>
    <col min="90" max="90" width="10.77734375" bestFit="1" customWidth="1"/>
  </cols>
  <sheetData>
    <row r="3" spans="1:2" x14ac:dyDescent="0.3">
      <c r="A3" s="6" t="s">
        <v>2527</v>
      </c>
      <c r="B3" t="s">
        <v>2518</v>
      </c>
    </row>
    <row r="4" spans="1:2" x14ac:dyDescent="0.3">
      <c r="A4" s="7">
        <v>0</v>
      </c>
      <c r="B4">
        <v>175</v>
      </c>
    </row>
    <row r="5" spans="1:2" x14ac:dyDescent="0.3">
      <c r="A5" s="7">
        <v>1</v>
      </c>
      <c r="B5">
        <v>888</v>
      </c>
    </row>
    <row r="6" spans="1:2" x14ac:dyDescent="0.3">
      <c r="A6" s="7">
        <v>2</v>
      </c>
      <c r="B6">
        <v>538</v>
      </c>
    </row>
    <row r="7" spans="1:2" x14ac:dyDescent="0.3">
      <c r="A7" s="7">
        <v>3</v>
      </c>
      <c r="B7">
        <v>344</v>
      </c>
    </row>
    <row r="8" spans="1:2" x14ac:dyDescent="0.3">
      <c r="A8" s="7">
        <v>4</v>
      </c>
      <c r="B8">
        <v>200</v>
      </c>
    </row>
    <row r="9" spans="1:2" x14ac:dyDescent="0.3">
      <c r="A9" s="7">
        <v>5</v>
      </c>
      <c r="B9">
        <v>94</v>
      </c>
    </row>
    <row r="10" spans="1:2" x14ac:dyDescent="0.3">
      <c r="A10" s="7">
        <v>6</v>
      </c>
      <c r="B10">
        <v>51</v>
      </c>
    </row>
    <row r="11" spans="1:2" x14ac:dyDescent="0.3">
      <c r="A11" s="7">
        <v>7</v>
      </c>
      <c r="B11">
        <v>32</v>
      </c>
    </row>
    <row r="12" spans="1:2" x14ac:dyDescent="0.3">
      <c r="A12" s="7">
        <v>8</v>
      </c>
      <c r="B12">
        <v>23</v>
      </c>
    </row>
    <row r="13" spans="1:2" x14ac:dyDescent="0.3">
      <c r="A13" s="7">
        <v>9</v>
      </c>
      <c r="B13">
        <v>9</v>
      </c>
    </row>
    <row r="14" spans="1:2" x14ac:dyDescent="0.3">
      <c r="A14" s="7">
        <v>10</v>
      </c>
      <c r="B14">
        <v>8</v>
      </c>
    </row>
    <row r="15" spans="1:2" x14ac:dyDescent="0.3">
      <c r="A15" s="7">
        <v>11</v>
      </c>
      <c r="B15">
        <v>11</v>
      </c>
    </row>
    <row r="16" spans="1:2" x14ac:dyDescent="0.3">
      <c r="A16" s="7">
        <v>12</v>
      </c>
      <c r="B16">
        <v>4</v>
      </c>
    </row>
    <row r="17" spans="1:7" x14ac:dyDescent="0.3">
      <c r="A17" s="7">
        <v>13</v>
      </c>
      <c r="B17">
        <v>10</v>
      </c>
    </row>
    <row r="18" spans="1:7" x14ac:dyDescent="0.3">
      <c r="A18" s="7">
        <v>14</v>
      </c>
      <c r="B18">
        <v>13</v>
      </c>
    </row>
    <row r="19" spans="1:7" x14ac:dyDescent="0.3">
      <c r="A19" s="7" t="s">
        <v>2528</v>
      </c>
      <c r="B19">
        <v>2400</v>
      </c>
    </row>
    <row r="24" spans="1:7" x14ac:dyDescent="0.3">
      <c r="A24" s="6" t="s">
        <v>2518</v>
      </c>
      <c r="B24" s="6" t="s">
        <v>2533</v>
      </c>
    </row>
    <row r="25" spans="1:7" x14ac:dyDescent="0.3">
      <c r="A25" s="6" t="s">
        <v>2527</v>
      </c>
      <c r="B25">
        <v>1</v>
      </c>
      <c r="C25">
        <v>2</v>
      </c>
      <c r="D25">
        <v>3</v>
      </c>
      <c r="E25">
        <v>4</v>
      </c>
      <c r="F25">
        <v>5</v>
      </c>
      <c r="G25" t="s">
        <v>2528</v>
      </c>
    </row>
    <row r="26" spans="1:7" x14ac:dyDescent="0.3">
      <c r="A26" s="7" t="s">
        <v>2539</v>
      </c>
      <c r="B26">
        <v>7</v>
      </c>
      <c r="C26">
        <v>37</v>
      </c>
      <c r="D26">
        <v>150</v>
      </c>
      <c r="E26">
        <v>312</v>
      </c>
      <c r="F26">
        <v>224</v>
      </c>
      <c r="G26">
        <v>730</v>
      </c>
    </row>
    <row r="27" spans="1:7" x14ac:dyDescent="0.3">
      <c r="A27" s="7" t="s">
        <v>2540</v>
      </c>
      <c r="B27">
        <v>8</v>
      </c>
      <c r="C27">
        <v>51</v>
      </c>
      <c r="D27">
        <v>182</v>
      </c>
      <c r="E27">
        <v>373</v>
      </c>
      <c r="F27">
        <v>247</v>
      </c>
      <c r="G27">
        <v>861</v>
      </c>
    </row>
    <row r="28" spans="1:7" x14ac:dyDescent="0.3">
      <c r="A28" s="7" t="s">
        <v>2541</v>
      </c>
      <c r="B28">
        <v>6</v>
      </c>
      <c r="C28">
        <v>39</v>
      </c>
      <c r="D28">
        <v>163</v>
      </c>
      <c r="E28">
        <v>351</v>
      </c>
      <c r="F28">
        <v>250</v>
      </c>
      <c r="G28">
        <v>809</v>
      </c>
    </row>
    <row r="29" spans="1:7" x14ac:dyDescent="0.3">
      <c r="A29" s="7" t="s">
        <v>2528</v>
      </c>
      <c r="B29">
        <v>21</v>
      </c>
      <c r="C29">
        <v>127</v>
      </c>
      <c r="D29">
        <v>495</v>
      </c>
      <c r="E29">
        <v>1036</v>
      </c>
      <c r="F29">
        <v>721</v>
      </c>
      <c r="G29">
        <v>2400</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O2" sqref="O2"/>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pivots</vt:lpstr>
      <vt:lpstr>Dashboardme</vt:lpstr>
      <vt:lpstr>Questions &amp; KPIs</vt:lpstr>
      <vt:lpstr>Sheet1</vt:lpstr>
      <vt:lpstr>Sheet2</vt:lpstr>
      <vt:lpstr>Sheet3</vt:lpstr>
      <vt:lpstr>maps</vt:lpstr>
      <vt:lpstr>Sheet5</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محمد محمود عبدالرازق شيخون</cp:lastModifiedBy>
  <dcterms:created xsi:type="dcterms:W3CDTF">2025-06-13T02:42:26Z</dcterms:created>
  <dcterms:modified xsi:type="dcterms:W3CDTF">2026-02-15T01:29:24Z</dcterms:modified>
</cp:coreProperties>
</file>